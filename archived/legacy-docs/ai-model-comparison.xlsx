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I Assissant POC\docs\"/>
    </mc:Choice>
  </mc:AlternateContent>
  <bookViews>
    <workbookView xWindow="0" yWindow="0" windowWidth="15345" windowHeight="4545" activeTab="1"/>
  </bookViews>
  <sheets>
    <sheet name="Browser Extension" sheetId="1" r:id="rId1"/>
    <sheet name="Admission Bot" sheetId="2" r:id="rId2"/>
  </sheets>
  <calcPr calcId="152511"/>
</workbook>
</file>

<file path=xl/calcChain.xml><?xml version="1.0" encoding="utf-8"?>
<calcChain xmlns="http://schemas.openxmlformats.org/spreadsheetml/2006/main">
  <c r="I31" i="2" l="1"/>
  <c r="H31" i="2"/>
  <c r="I30" i="2"/>
  <c r="H30" i="2"/>
  <c r="I29" i="2"/>
  <c r="H29" i="2"/>
  <c r="H18" i="1"/>
  <c r="G18" i="1"/>
  <c r="H17" i="1"/>
  <c r="G17" i="1"/>
  <c r="H16" i="1"/>
  <c r="G16" i="1"/>
</calcChain>
</file>

<file path=xl/sharedStrings.xml><?xml version="1.0" encoding="utf-8"?>
<sst xmlns="http://schemas.openxmlformats.org/spreadsheetml/2006/main" count="295" uniqueCount="185">
  <si>
    <t>Browser Extension — AI Model &amp; Infra Comparison</t>
  </si>
  <si>
    <t>OrderAssist catalogue-matching extension: complementary suggestion + note generation only. Format follows AI-POC in OrderAssist.xlsx (AI Pricing sheet) for consistency with existing project docs.</t>
  </si>
  <si>
    <t>USD → INR</t>
  </si>
  <si>
    <t>Source: Xe / exchangerates.org.uk, spot rate 2026-07-28 (restored — original FX row was deleted)</t>
  </si>
  <si>
    <t>AI model comparison</t>
  </si>
  <si>
    <t>Type</t>
  </si>
  <si>
    <t>AI Provider</t>
  </si>
  <si>
    <t>Model</t>
  </si>
  <si>
    <t>Plan</t>
  </si>
  <si>
    <t>Input ₹/1M</t>
  </si>
  <si>
    <t>Output ₹/1M</t>
  </si>
  <si>
    <t>Suggestion Quality</t>
  </si>
  <si>
    <t>Note Quality</t>
  </si>
  <si>
    <t>Latency (measured)</t>
  </si>
  <si>
    <t>Data Residency</t>
  </si>
  <si>
    <t>Overall</t>
  </si>
  <si>
    <t>Local</t>
  </si>
  <si>
    <t>Ollama (self-hosted)</t>
  </si>
  <si>
    <t>gemma2:2b</t>
  </si>
  <si>
    <t>Self-hosted, no plan</t>
  </si>
  <si>
    <t>★★★☆☆</t>
  </si>
  <si>
    <t>★★☆☆☆ (~12.6s note gen, measured)</t>
  </si>
  <si>
    <t>★★★★★ (fully on-box)</t>
  </si>
  <si>
    <t>★★★★☆ current, proven in production</t>
  </si>
  <si>
    <t>Qwen3-8B</t>
  </si>
  <si>
    <t>★★★★☆</t>
  </si>
  <si>
    <t>★★★☆☆ (not measured, similar class to gemma2:2b)</t>
  </si>
  <si>
    <t>★★★★★ recommended upgrade — same box, $0 extra</t>
  </si>
  <si>
    <t>Cloud API</t>
  </si>
  <si>
    <t>Sarvam AI</t>
  </si>
  <si>
    <t>sarvam-105b</t>
  </si>
  <si>
    <t>Pay-as-you-go, no subscription</t>
  </si>
  <si>
    <t>★★★★★</t>
  </si>
  <si>
    <t>★★★★★ (~4.6s, measured)</t>
  </si>
  <si>
    <t>★★★☆☆ (leaves box to Sarvam cloud)</t>
  </si>
  <si>
    <t>★★★★★ cheapest cloud option, 13–25x under Gemini/OpenAI</t>
  </si>
  <si>
    <t>Pricing confirmed live from each provider’s own pricing page, 2026-07-30. Star ratings are this session’s directional assessment (measured where noted; otherwise judgment, not a benchmark run) — same convention as the "Overall Suitability" column in AI-POC in OrderAssist.xlsx.</t>
  </si>
  <si>
    <t>Server infra requirements</t>
  </si>
  <si>
    <t>Scenario</t>
  </si>
  <si>
    <t>Plan name</t>
  </si>
  <si>
    <t>vCPU</t>
  </si>
  <si>
    <t>RAM</t>
  </si>
  <si>
    <t>Storage</t>
  </si>
  <si>
    <t>$/mo</t>
  </si>
  <si>
    <t>₹/mo</t>
  </si>
  <si>
    <t>₹/year</t>
  </si>
  <si>
    <t>Notes</t>
  </si>
  <si>
    <t>gemma2:2b (current)</t>
  </si>
  <si>
    <t>Hetzner CPX32</t>
  </si>
  <si>
    <t>8 GB</t>
  </si>
  <si>
    <t>160 GB NVMe (bundled)</t>
  </si>
  <si>
    <t>Sized to fit Ollama + embedding service together on one box.</t>
  </si>
  <si>
    <t>Qwen3-8B (upgrade)</t>
  </si>
  <si>
    <t>Same box as gemma2:2b — Qwen3-8B fits the same 8 GB RAM/CPU envelope, no infra change.</t>
  </si>
  <si>
    <t>Sarvam API only (no local LLM)</t>
  </si>
  <si>
    <t>Hetzner CPX22</t>
  </si>
  <si>
    <t>4 GB</t>
  </si>
  <si>
    <t>80 GB NVMe (bundled)</t>
  </si>
  <si>
    <t>Downsized — no local model to host, just the backend + embedding service.</t>
  </si>
  <si>
    <t>Admission Bot — AI Model &amp; Infra Comparison</t>
  </si>
  <si>
    <t>AI Admission Assistant: local models first, then cloud APIs (Sarvam, ChatGPT). Format follows AI-POC in OrderAssist.xlsx (AI Pricing sheet) for consistency with existing project docs.</t>
  </si>
  <si>
    <t>AI model comparison — local first, then cloud APIs</t>
  </si>
  <si>
    <t>Hindi</t>
  </si>
  <si>
    <t>Marathi</t>
  </si>
  <si>
    <t>Reasoning / RAG</t>
  </si>
  <si>
    <t>Latency</t>
  </si>
  <si>
    <t>★★☆☆☆</t>
  </si>
  <si>
    <t>★★☆☆☆ (~30–80s on CPU)</t>
  </si>
  <si>
    <t>★★☆☆☆ current fallback only — weak on Indic, not a primary-model candidate</t>
  </si>
  <si>
    <t>Self-hosted (Apache 2.0)</t>
  </si>
  <si>
    <t>sarvam-30b (Q4 quant)</t>
  </si>
  <si>
    <t>Self-hosted, no plan — needs 24 GB GPU</t>
  </si>
  <si>
    <t>★★★☆☆ (not benchmarked in this project)</t>
  </si>
  <si>
    <t>★★★☆☆ best local quality available, but a 24/7 24GB GPU costs far more than API calls at this volume</t>
  </si>
  <si>
    <t>sarvam-30b</t>
  </si>
  <si>
    <t>★★★★★ (~4.6s, measured on this project’s note-gen flow)</t>
  </si>
  <si>
    <t>★★★★★ recommended — Indic-specialized, cheapest of the APIs, same vendor already in the current architecture</t>
  </si>
  <si>
    <t>★★★★★ (not separately measured; same family as 30b)</t>
  </si>
  <si>
    <t>★★★★★ upgrade option — best Indic benchmark results, ~60% pricier than 30b</t>
  </si>
  <si>
    <t>OpenAI</t>
  </si>
  <si>
    <t>GPT-5 mini</t>
  </si>
  <si>
    <t>Pay-as-you-go API</t>
  </si>
  <si>
    <t>★★★★☆ (not tested in this project)</t>
  </si>
  <si>
    <t>★★★☆☆ (leaves box to OpenAI)</t>
  </si>
  <si>
    <t>not Indic-specialized, ~14x pricier than Sarvam-30b per call (blended, English token mix) for this workload</t>
  </si>
  <si>
    <t>GPT-5 mini priced in USD, converted at the FX rate above — its own pricing page lists $0.25/$2.00 per 1M input/output tokens, confirmed live 2026-07-30 (a newer GPT-5.4 Mini tier also exists at $0.75/$4.50, not used here). Sarvam prices are native INR, both tiers confirmed live 2026-07-30. Star ratings are directional (measured where noted, otherwise judgment).</t>
  </si>
  <si>
    <t>Sarvam AI — full service pricing (chat, voice, translation)</t>
  </si>
  <si>
    <t>Relevant beyond chat: the admission bot also uses voice (STT + TTS) for Hindi/Marathi/Tamil per MODELS_AND_DEPLOYMENT.md. Currently self-hosted (AI4Bharat TTS, browser STT) — these Sarvam rates are what "voice-first via Sarvam instead of self-hosting" would cost.</t>
  </si>
  <si>
    <t>Service</t>
  </si>
  <si>
    <t>Billing unit</t>
  </si>
  <si>
    <t>Price</t>
  </si>
  <si>
    <t>Sarvam-30B (LLM)</t>
  </si>
  <si>
    <t>Per 1M input / output tokens</t>
  </si>
  <si>
    <t>Input: ₹2.5, Output: ₹10</t>
  </si>
  <si>
    <t>Matches this project’s configured SARVAM_MODEL=sarvam-30b</t>
  </si>
  <si>
    <t xml:space="preserve">If student uses it and per student caps 10 message a days-- throughout year price is </t>
  </si>
  <si>
    <t>Speech-to-Text (STT)</t>
  </si>
  <si>
    <t>Per hour of audio</t>
  </si>
  <si>
    <t>₹30/hour</t>
  </si>
  <si>
    <t>STT + Diarization</t>
  </si>
  <si>
    <t>₹45/hour</t>
  </si>
  <si>
    <t>Text-to-Speech (Bulbul v2)</t>
  </si>
  <si>
    <t>Per 10,000 characters</t>
  </si>
  <si>
    <t>₹15</t>
  </si>
  <si>
    <t>Text-to-Speech (Bulbul v3)</t>
  </si>
  <si>
    <t>₹30 (beta pricing)</t>
  </si>
  <si>
    <t>Translation</t>
  </si>
  <si>
    <t>₹20</t>
  </si>
  <si>
    <t>Source: Sarvam API Developer Documentation, docs.sarvam.ai/api/getting-started/pricing.</t>
  </si>
  <si>
    <t>Plan / Method</t>
  </si>
  <si>
    <t>GPU</t>
  </si>
  <si>
    <t>Method 1 — Sarvam API + local fallback (current architecture)</t>
  </si>
  <si>
    <t>AWS g4dn.xlarge</t>
  </si>
  <si>
    <t>16 GB</t>
  </si>
  <si>
    <t>NVIDIA T4, 16 GB</t>
  </si>
  <si>
    <t>75 GB gp3</t>
  </si>
  <si>
    <t>Runs gemma2:2b fallback + embedding service + AI4Bharat TTS, all on one box.</t>
  </si>
  <si>
    <t>Method 2 — Full self-host (sarvam-30b, Q4, replaces API entirely)</t>
  </si>
  <si>
    <t>AWS g6.xlarge</t>
  </si>
  <si>
    <t>NVIDIA L4, 24 GB</t>
  </si>
  <si>
    <t>Sarvam-30B as primary chat model, no Sarvam API calls; still needs 24/7 GPU rental.</t>
  </si>
  <si>
    <t>Method 0 — Lean, Sarvam API only (no local LLM, no local TTS)</t>
  </si>
  <si>
    <t>None</t>
  </si>
  <si>
    <t>No local fallback if Sarvam is capped/down; voice must route through Sarvam TTS/STT (see pricing above) if kept.</t>
  </si>
  <si>
    <t>UPDATE — 2026-08-17: current pricing (supersedes the Sarvam/OpenAI rows above, which are dated 2026-07-30 and now stale)</t>
  </si>
  <si>
    <t>Checked live 2026-08-17 against each vendor's own pricing page. Sarvam's pricing has changed substantially since the 2026-07-30 snapshot above (rows 9-10): sarvam-30b no longer appears in Sarvam's current model lineup at all, and sarvam-105b's price roughly doubled to nearly 10x on input. Do not use rows 9-10 above for current cost projections - use the table below instead.</t>
  </si>
  <si>
    <t>Sarvam AI — pay-as-you-go, current (2026-08-17)</t>
  </si>
  <si>
    <t>Cached input ₹/1M</t>
  </si>
  <si>
    <t>Was ₹4/₹16 on 2026-07-30 - input price is now ~7.3x higher, output ~4.6x.</t>
  </si>
  <si>
    <t>gemma-4 31B (beta)</t>
  </si>
  <si>
    <t>Beta pricing - may change.</t>
  </si>
  <si>
    <t>glm5.2 (beta)</t>
  </si>
  <si>
    <t>Beta pricing. Output price includes reasoning tokens - a reasoning model, not a like-for-like swap with sarvam-105b.</t>
  </si>
  <si>
    <t>sarvam-30b (this project's currently configured SARVAM_MODEL) is ABSENT from Sarvam's current pricing page - it may be deprecated or renamed. Combined with CLAUDE.md's own note that the Sarvam key already returns HTTP 402 (no credits), verify directly with Sarvam before budgeting around it.</t>
  </si>
  <si>
    <t>Source: docs.sarvam.ai/api-reference-docs/pricing, fetched 2026-08-17.</t>
  </si>
  <si>
    <t>OpenAI ("ChatGPT") — pay-as-you-go, current (2026-08-17)</t>
  </si>
  <si>
    <t>OpenAI's lineup has grown substantially since the single GPT-5 mini row above (2026-07-30) - it now spans GPT-5.6/5.5/5.4/5.2/5.1/5, an o-series reasoning family, and the legacy 4.1/4o/3.5 models. Rows below are the models most relevant to a chat+RAG workload like this one, not the full lineup - ask if you want every tier listed.</t>
  </si>
  <si>
    <t>Input $/1M</t>
  </si>
  <si>
    <t>Output $/1M</t>
  </si>
  <si>
    <t>Cached input $/1M</t>
  </si>
  <si>
    <t>gpt-5-nano</t>
  </si>
  <si>
    <t>Cheapest current tier - budget/high-volume option.</t>
  </si>
  <si>
    <t>gpt-5-mini</t>
  </si>
  <si>
    <t>Replaces the GPT-5 mini row above - same model, price UNCHANGED since 2026-07-30 ($0.25/$2.00).</t>
  </si>
  <si>
    <t>gpt-4o-mini</t>
  </si>
  <si>
    <t>Older generation but still offered - cheaper than gpt-5-mini on input, well-documented, widely used as a baseline comparison.</t>
  </si>
  <si>
    <t>gpt-5.4</t>
  </si>
  <si>
    <t>Vendor-recommended production workhorse tier as of this check.</t>
  </si>
  <si>
    <t>gpt-5.6-sol</t>
  </si>
  <si>
    <t>Current flagship - highest quality, highest cost of the mainstream (non o-series/pro) tiers.</t>
  </si>
  <si>
    <t>USD, not yet converted to INR in this table - multiply by $B$4 (the FX rate above) for INR, same as the existing GPT-5 mini row.</t>
  </si>
  <si>
    <t>Source: developers.openai.com/api/docs/pricing, fetched 2026-08-17.</t>
  </si>
  <si>
    <t>Qdrant — vector DB / RAG infra (new comparison point)</t>
  </si>
  <si>
    <t>This project currently uses a hand-rolled JSON-file vector store (storage/vectorstore.py, one file per project, ~200-300 chunks each per the ingested manifests) - not a dedicated vector database. Qdrant is the production-grade alternative being priced here for that reason, not a drop-in swap for anything already running.</t>
  </si>
  <si>
    <t>Resources</t>
  </si>
  <si>
    <t>Free tier</t>
  </si>
  <si>
    <t>0.5 vCPU / 1 GB RAM / 4 GB disk, single node</t>
  </si>
  <si>
    <t>$0 (forever)</t>
  </si>
  <si>
    <t>This project's actual corpus size (a few hundred chunks per programme) would very likely fit here - worth trying before budgeting for Standard.</t>
  </si>
  <si>
    <t>Standard (pay-as-you-go)</t>
  </si>
  <si>
    <t>Dedicated cluster, billed hourly on vCPU/RAM/disk/inference-token usage</t>
  </si>
  <si>
    <t>Vendor states usage-based billing; independent estimates put a small (2 GB RAM) cluster around $30-60/mo and an 8 GB cluster around $120-200/mo</t>
  </si>
  <si>
    <t>NOT confirmed against Qdrant's own numbers - their pricing page requires the JS calculator at cloud.qdrant.io/calculator, which could not be read directly. Treat as directional, get a real quote from the calculator before committing.</t>
  </si>
  <si>
    <t>Premium</t>
  </si>
  <si>
    <t>Standard + SSO, private VPC links, 99.9% uptime SLA</t>
  </si>
  <si>
    <t>Minimum spend required (amount not published)</t>
  </si>
  <si>
    <t>Contact-sales tier.</t>
  </si>
  <si>
    <t>Hybrid / Private Cloud</t>
  </si>
  <si>
    <t>Runs on your own infrastructure (Hybrid) or fully isolated (Private)</t>
  </si>
  <si>
    <t>On request</t>
  </si>
  <si>
    <t>Source: qdrant.tech/pricing (tiers/structure) + independent estimate for Standard $/GB-hour (not vendor-confirmed), both fetched 2026-08-17.</t>
  </si>
  <si>
    <t>Other production-grade considerations (not priced in detail here)</t>
  </si>
  <si>
    <t>Category</t>
  </si>
  <si>
    <t>Item</t>
  </si>
  <si>
    <t>Why it matters for this project</t>
  </si>
  <si>
    <t>Embeddings</t>
  </si>
  <si>
    <t>Currently: selfhosted BGE-M3 (remote, occasionally 503s per CLAUDE.md)</t>
  </si>
  <si>
    <t>A managed embedding API (e.g. OpenAI text-embedding-3) would need its own pay-as-you-go line if the selfhosted service's reliability stays a problem - not priced here, flagging as a gap.</t>
  </si>
  <si>
    <t>Alternative vector DBs</t>
  </si>
  <si>
    <t>Pinecone, Weaviate, pgvector (Postgres extension)</t>
  </si>
  <si>
    <t>Not priced here - mentioned because they're the other names that usually come up alongside Qdrant. pgvector in particular is worth a look if this project ever adds a real Postgres instance anyway, since it would add zero new infrastructure.</t>
  </si>
  <si>
    <t>Reliability</t>
  </si>
  <si>
    <t>Current .env already shows Mistral primary + NVIDIA fallback + Hetzner fallback chain</t>
  </si>
  <si>
    <t>Whichever chat model is chosen from the tables above, it needs the SAME kind of fallback chain this project already has - a single pay-as-you-go vendor with no fallback is not production-grade on its own, regardless of price.</t>
  </si>
  <si>
    <t>This section is scoped narrowly on purpose - ask if you want a fuller production-readiness checklist (rate limits, SLA terms, data residency, logging/observability,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</si>
</sst>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₹&quot;#,##0.00;\(&quot;₹&quot;#,##0.00\);\-"/>
    <numFmt numFmtId="165" formatCode="&quot;$&quot;#,##0.00;\(&quot;$&quot;#,##0.00\);\-"/>
    <numFmt numFmtId="166" formatCode="&quot;₹&quot;#,##0;\(&quot;₹&quot;#,##0\);\-"/>
  </numFmts>
  <fonts count="17" x14ac:knownFonts="1">
    <font>
      <sz val="11"/>
      <color theme="1"/>
      <name val="Calibri"/>
      <family val="2"/>
      <scheme val="minor"/>
    </font>
    <font>
      <b/>
      <sz val="16"/>
      <color rgb="FF1A1F27"/>
      <name val="Arial"/>
    </font>
    <font>
      <sz val="10.5"/>
      <color rgb="FF5B6572"/>
      <name val="Arial"/>
    </font>
    <font>
      <b/>
      <sz val="12"/>
      <color rgb="FF1A1F27"/>
      <name val="Arial"/>
    </font>
    <font>
      <sz val="10"/>
      <color rgb="FF000000"/>
      <name val="Arial"/>
    </font>
    <font>
      <sz val="10"/>
      <color rgb="FF0000FF"/>
      <name val="Arial"/>
    </font>
    <font>
      <i/>
      <sz val="9"/>
      <color rgb="FF5B6572"/>
      <name val="Arial"/>
    </font>
    <font>
      <b/>
      <sz val="10.5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i/>
      <sz val="9"/>
      <color rgb="FF5B6572"/>
      <name val="Arial"/>
    </font>
    <font>
      <b/>
      <sz val="12"/>
      <name val="Arial"/>
    </font>
    <font>
      <i/>
      <sz val="9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1A7F4E"/>
      </patternFill>
    </fill>
    <fill>
      <patternFill patternType="solid">
        <fgColor rgb="FFEAF3EA"/>
      </patternFill>
    </fill>
    <fill>
      <patternFill patternType="solid">
        <fgColor rgb="FFEAF0FA"/>
      </patternFill>
    </fill>
    <fill>
      <patternFill patternType="solid">
        <fgColor rgb="FFFFF9C4"/>
      </patternFill>
    </fill>
    <fill>
      <patternFill patternType="solid">
        <fgColor rgb="FF1A7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7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164" fontId="5" fillId="2" borderId="0" xfId="0" applyNumberFormat="1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165" fontId="5" fillId="2" borderId="0" xfId="0" applyNumberFormat="1" applyFont="1" applyFill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9" fillId="0" borderId="0" xfId="0" applyFont="1"/>
    <xf numFmtId="2" fontId="10" fillId="6" borderId="0" xfId="0" applyNumberFormat="1" applyFont="1" applyFill="1"/>
    <xf numFmtId="0" fontId="11" fillId="0" borderId="0" xfId="0" applyFont="1" applyAlignment="1">
      <alignment vertical="top" wrapText="1"/>
    </xf>
    <xf numFmtId="166" fontId="9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12" fillId="0" borderId="0" xfId="0" applyFont="1"/>
    <xf numFmtId="0" fontId="14" fillId="7" borderId="0" xfId="0" applyFont="1" applyFill="1"/>
    <xf numFmtId="0" fontId="15" fillId="0" borderId="0" xfId="0" applyFont="1"/>
    <xf numFmtId="0" fontId="16" fillId="0" borderId="0" xfId="0" applyFont="1"/>
    <xf numFmtId="0" fontId="6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opLeftCell="A10" workbookViewId="0">
      <selection activeCell="B3" sqref="B3"/>
    </sheetView>
  </sheetViews>
  <sheetFormatPr defaultRowHeight="15" x14ac:dyDescent="0.25"/>
  <cols>
    <col min="1" max="1" width="14" style="18" customWidth="1"/>
    <col min="2" max="2" width="20" style="18" customWidth="1"/>
    <col min="3" max="3" width="16" style="18" customWidth="1"/>
    <col min="4" max="4" width="26" style="18" customWidth="1"/>
    <col min="5" max="6" width="12" style="18" customWidth="1"/>
    <col min="7" max="10" width="24" style="18" customWidth="1"/>
    <col min="11" max="11" width="36" style="18" customWidth="1"/>
  </cols>
  <sheetData>
    <row r="1" spans="1:11" ht="20.25" customHeight="1" x14ac:dyDescent="0.3">
      <c r="A1" s="1" t="s">
        <v>0</v>
      </c>
    </row>
    <row r="2" spans="1:11" ht="63.75" customHeight="1" x14ac:dyDescent="0.25">
      <c r="A2" s="25" t="s">
        <v>1</v>
      </c>
      <c r="B2" s="24"/>
      <c r="C2" s="24"/>
      <c r="D2" s="24"/>
    </row>
    <row r="4" spans="1:11" ht="15.75" customHeight="1" x14ac:dyDescent="0.25">
      <c r="A4" s="13" t="s">
        <v>2</v>
      </c>
      <c r="B4" s="14">
        <v>95.71</v>
      </c>
      <c r="C4" s="15" t="s">
        <v>3</v>
      </c>
    </row>
    <row r="6" spans="1:11" ht="15.75" customHeight="1" x14ac:dyDescent="0.25">
      <c r="A6" s="2" t="s">
        <v>4</v>
      </c>
    </row>
    <row r="7" spans="1:11" ht="26.1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</row>
    <row r="8" spans="1:11" ht="39.950000000000003" customHeight="1" x14ac:dyDescent="0.25">
      <c r="A8" s="5" t="s">
        <v>16</v>
      </c>
      <c r="B8" s="6" t="s">
        <v>17</v>
      </c>
      <c r="C8" s="5" t="s">
        <v>18</v>
      </c>
      <c r="D8" s="6" t="s">
        <v>19</v>
      </c>
      <c r="E8" s="7">
        <v>0</v>
      </c>
      <c r="F8" s="7">
        <v>0</v>
      </c>
      <c r="G8" s="6" t="s">
        <v>20</v>
      </c>
      <c r="H8" s="6" t="s">
        <v>20</v>
      </c>
      <c r="I8" s="6" t="s">
        <v>21</v>
      </c>
      <c r="J8" s="6" t="s">
        <v>22</v>
      </c>
      <c r="K8" s="6" t="s">
        <v>23</v>
      </c>
    </row>
    <row r="9" spans="1:11" ht="39.950000000000003" customHeight="1" x14ac:dyDescent="0.25">
      <c r="A9" s="5" t="s">
        <v>16</v>
      </c>
      <c r="B9" s="6" t="s">
        <v>17</v>
      </c>
      <c r="C9" s="5" t="s">
        <v>24</v>
      </c>
      <c r="D9" s="6" t="s">
        <v>19</v>
      </c>
      <c r="E9" s="7">
        <v>0</v>
      </c>
      <c r="F9" s="7">
        <v>0</v>
      </c>
      <c r="G9" s="6" t="s">
        <v>25</v>
      </c>
      <c r="H9" s="6" t="s">
        <v>25</v>
      </c>
      <c r="I9" s="6" t="s">
        <v>26</v>
      </c>
      <c r="J9" s="6" t="s">
        <v>22</v>
      </c>
      <c r="K9" s="6" t="s">
        <v>27</v>
      </c>
    </row>
    <row r="10" spans="1:11" ht="39.950000000000003" customHeight="1" x14ac:dyDescent="0.25">
      <c r="A10" s="8" t="s">
        <v>28</v>
      </c>
      <c r="B10" s="9" t="s">
        <v>29</v>
      </c>
      <c r="C10" s="8" t="s">
        <v>30</v>
      </c>
      <c r="D10" s="9" t="s">
        <v>31</v>
      </c>
      <c r="E10" s="7">
        <v>4</v>
      </c>
      <c r="F10" s="7">
        <v>16</v>
      </c>
      <c r="G10" s="9" t="s">
        <v>32</v>
      </c>
      <c r="H10" s="9" t="s">
        <v>32</v>
      </c>
      <c r="I10" s="9" t="s">
        <v>33</v>
      </c>
      <c r="J10" s="9" t="s">
        <v>34</v>
      </c>
      <c r="K10" s="9" t="s">
        <v>35</v>
      </c>
    </row>
    <row r="12" spans="1:11" ht="30" customHeight="1" x14ac:dyDescent="0.25">
      <c r="A12" s="23" t="s">
        <v>36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4" spans="1:11" ht="15.75" customHeight="1" x14ac:dyDescent="0.25">
      <c r="A14" s="2" t="s">
        <v>37</v>
      </c>
    </row>
    <row r="15" spans="1:11" ht="21.95" customHeight="1" x14ac:dyDescent="0.25">
      <c r="A15" s="4" t="s">
        <v>38</v>
      </c>
      <c r="B15" s="4" t="s">
        <v>39</v>
      </c>
      <c r="C15" s="4" t="s">
        <v>40</v>
      </c>
      <c r="D15" s="4" t="s">
        <v>41</v>
      </c>
      <c r="E15" s="4" t="s">
        <v>42</v>
      </c>
      <c r="F15" s="4" t="s">
        <v>43</v>
      </c>
      <c r="G15" s="4" t="s">
        <v>44</v>
      </c>
      <c r="H15" s="4" t="s">
        <v>45</v>
      </c>
      <c r="I15" s="4" t="s">
        <v>46</v>
      </c>
    </row>
    <row r="16" spans="1:11" ht="36" customHeight="1" x14ac:dyDescent="0.25">
      <c r="A16" s="10" t="s">
        <v>47</v>
      </c>
      <c r="B16" s="3" t="s">
        <v>48</v>
      </c>
      <c r="C16" s="3">
        <v>4</v>
      </c>
      <c r="D16" s="3" t="s">
        <v>49</v>
      </c>
      <c r="E16" s="3" t="s">
        <v>50</v>
      </c>
      <c r="F16" s="11">
        <v>39.229999999999997</v>
      </c>
      <c r="G16" s="16">
        <f>F16*$B$4</f>
        <v>3754.7032999999997</v>
      </c>
      <c r="H16" s="16">
        <f>F16*12*$B$4</f>
        <v>45056.439599999998</v>
      </c>
      <c r="I16" s="17" t="s">
        <v>51</v>
      </c>
    </row>
    <row r="17" spans="1:9" ht="36" customHeight="1" x14ac:dyDescent="0.25">
      <c r="A17" s="10" t="s">
        <v>52</v>
      </c>
      <c r="B17" s="3" t="s">
        <v>48</v>
      </c>
      <c r="C17" s="3">
        <v>4</v>
      </c>
      <c r="D17" s="3" t="s">
        <v>49</v>
      </c>
      <c r="E17" s="3" t="s">
        <v>50</v>
      </c>
      <c r="F17" s="11">
        <v>39.229999999999997</v>
      </c>
      <c r="G17" s="16">
        <f>F17*$B$4</f>
        <v>3754.7032999999997</v>
      </c>
      <c r="H17" s="16">
        <f>F17*12*$B$4</f>
        <v>45056.439599999998</v>
      </c>
      <c r="I17" s="17" t="s">
        <v>53</v>
      </c>
    </row>
    <row r="18" spans="1:9" ht="36" customHeight="1" x14ac:dyDescent="0.25">
      <c r="A18" s="10" t="s">
        <v>54</v>
      </c>
      <c r="B18" s="3" t="s">
        <v>55</v>
      </c>
      <c r="C18" s="3">
        <v>2</v>
      </c>
      <c r="D18" s="3" t="s">
        <v>56</v>
      </c>
      <c r="E18" s="3" t="s">
        <v>57</v>
      </c>
      <c r="F18" s="11">
        <v>21.79</v>
      </c>
      <c r="G18" s="16">
        <f>F18*$B$4</f>
        <v>2085.5209</v>
      </c>
      <c r="H18" s="16">
        <f>F18*12*$B$4</f>
        <v>25026.250800000002</v>
      </c>
      <c r="I18" s="17" t="s">
        <v>58</v>
      </c>
    </row>
  </sheetData>
  <mergeCells count="2">
    <mergeCell ref="A12:K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showGridLines="0" tabSelected="1" topLeftCell="A32" workbookViewId="0">
      <selection activeCell="F50" sqref="F50"/>
    </sheetView>
  </sheetViews>
  <sheetFormatPr defaultRowHeight="15" x14ac:dyDescent="0.25"/>
  <cols>
    <col min="1" max="1" width="34" style="18" customWidth="1"/>
    <col min="2" max="2" width="18" style="18" customWidth="1"/>
    <col min="3" max="3" width="10" style="18" customWidth="1"/>
    <col min="4" max="4" width="12" style="18" customWidth="1"/>
    <col min="5" max="5" width="16" style="18" customWidth="1"/>
    <col min="6" max="6" width="18" style="18" customWidth="1"/>
    <col min="7" max="7" width="11" style="18" customWidth="1"/>
    <col min="8" max="9" width="13" style="18" customWidth="1"/>
    <col min="10" max="10" width="40" style="18" customWidth="1"/>
    <col min="11" max="11" width="22" style="18" customWidth="1"/>
    <col min="12" max="12" width="40" style="18" customWidth="1"/>
  </cols>
  <sheetData>
    <row r="1" spans="1:12" ht="20.25" customHeight="1" x14ac:dyDescent="0.3">
      <c r="A1" s="1" t="s">
        <v>59</v>
      </c>
    </row>
    <row r="2" spans="1:12" ht="81" customHeight="1" x14ac:dyDescent="0.25">
      <c r="A2" s="25" t="s">
        <v>60</v>
      </c>
      <c r="B2" s="24"/>
      <c r="C2" s="24"/>
      <c r="D2" s="24"/>
    </row>
    <row r="3" spans="1:12" x14ac:dyDescent="0.25">
      <c r="A3" s="24"/>
      <c r="B3" s="24"/>
      <c r="C3" s="24"/>
      <c r="D3" s="24"/>
    </row>
    <row r="4" spans="1:12" ht="132" customHeight="1" x14ac:dyDescent="0.25">
      <c r="A4" s="13" t="s">
        <v>2</v>
      </c>
      <c r="B4" s="14">
        <v>95.71</v>
      </c>
      <c r="C4" s="15" t="s">
        <v>3</v>
      </c>
    </row>
    <row r="5" spans="1:12" ht="15.75" customHeight="1" x14ac:dyDescent="0.25">
      <c r="A5" s="2" t="s">
        <v>61</v>
      </c>
    </row>
    <row r="6" spans="1:12" ht="26.1" customHeight="1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62</v>
      </c>
      <c r="H6" s="4" t="s">
        <v>63</v>
      </c>
      <c r="I6" s="4" t="s">
        <v>64</v>
      </c>
      <c r="J6" s="4" t="s">
        <v>65</v>
      </c>
      <c r="K6" s="4" t="s">
        <v>14</v>
      </c>
      <c r="L6" s="4" t="s">
        <v>15</v>
      </c>
    </row>
    <row r="7" spans="1:12" ht="45.95" customHeight="1" x14ac:dyDescent="0.25">
      <c r="A7" s="5" t="s">
        <v>16</v>
      </c>
      <c r="B7" s="6" t="s">
        <v>17</v>
      </c>
      <c r="C7" s="5" t="s">
        <v>18</v>
      </c>
      <c r="D7" s="6" t="s">
        <v>19</v>
      </c>
      <c r="E7" s="7">
        <v>0</v>
      </c>
      <c r="F7" s="7">
        <v>0</v>
      </c>
      <c r="G7" s="6" t="s">
        <v>66</v>
      </c>
      <c r="H7" s="6" t="s">
        <v>66</v>
      </c>
      <c r="I7" s="6" t="s">
        <v>66</v>
      </c>
      <c r="J7" s="6" t="s">
        <v>67</v>
      </c>
      <c r="K7" s="6" t="s">
        <v>22</v>
      </c>
      <c r="L7" s="6" t="s">
        <v>68</v>
      </c>
    </row>
    <row r="8" spans="1:12" ht="45.95" customHeight="1" x14ac:dyDescent="0.25">
      <c r="A8" s="5" t="s">
        <v>16</v>
      </c>
      <c r="B8" s="6" t="s">
        <v>69</v>
      </c>
      <c r="C8" s="5" t="s">
        <v>70</v>
      </c>
      <c r="D8" s="6" t="s">
        <v>71</v>
      </c>
      <c r="E8" s="7">
        <v>0</v>
      </c>
      <c r="F8" s="7">
        <v>0</v>
      </c>
      <c r="G8" s="6" t="s">
        <v>32</v>
      </c>
      <c r="H8" s="6" t="s">
        <v>32</v>
      </c>
      <c r="I8" s="6" t="s">
        <v>25</v>
      </c>
      <c r="J8" s="6" t="s">
        <v>72</v>
      </c>
      <c r="K8" s="6" t="s">
        <v>22</v>
      </c>
      <c r="L8" s="6" t="s">
        <v>73</v>
      </c>
    </row>
    <row r="9" spans="1:12" ht="45.95" customHeight="1" x14ac:dyDescent="0.25">
      <c r="A9" s="8" t="s">
        <v>28</v>
      </c>
      <c r="B9" s="9" t="s">
        <v>29</v>
      </c>
      <c r="C9" s="8" t="s">
        <v>74</v>
      </c>
      <c r="D9" s="9" t="s">
        <v>31</v>
      </c>
      <c r="E9" s="7">
        <v>2.5</v>
      </c>
      <c r="F9" s="7">
        <v>10</v>
      </c>
      <c r="G9" s="9" t="s">
        <v>32</v>
      </c>
      <c r="H9" s="9" t="s">
        <v>32</v>
      </c>
      <c r="I9" s="9" t="s">
        <v>32</v>
      </c>
      <c r="J9" s="9" t="s">
        <v>75</v>
      </c>
      <c r="K9" s="9" t="s">
        <v>34</v>
      </c>
      <c r="L9" s="9" t="s">
        <v>76</v>
      </c>
    </row>
    <row r="10" spans="1:12" ht="45.95" customHeight="1" x14ac:dyDescent="0.25">
      <c r="A10" s="8" t="s">
        <v>28</v>
      </c>
      <c r="B10" s="9" t="s">
        <v>29</v>
      </c>
      <c r="C10" s="8" t="s">
        <v>30</v>
      </c>
      <c r="D10" s="9" t="s">
        <v>31</v>
      </c>
      <c r="E10" s="7">
        <v>4</v>
      </c>
      <c r="F10" s="7">
        <v>16</v>
      </c>
      <c r="G10" s="9" t="s">
        <v>32</v>
      </c>
      <c r="H10" s="9" t="s">
        <v>32</v>
      </c>
      <c r="I10" s="9" t="s">
        <v>32</v>
      </c>
      <c r="J10" s="9" t="s">
        <v>77</v>
      </c>
      <c r="K10" s="9" t="s">
        <v>34</v>
      </c>
      <c r="L10" s="9" t="s">
        <v>78</v>
      </c>
    </row>
    <row r="11" spans="1:12" ht="45.95" customHeight="1" x14ac:dyDescent="0.25">
      <c r="A11" s="8" t="s">
        <v>28</v>
      </c>
      <c r="B11" s="9" t="s">
        <v>79</v>
      </c>
      <c r="C11" s="8" t="s">
        <v>80</v>
      </c>
      <c r="D11" s="9" t="s">
        <v>81</v>
      </c>
      <c r="E11" s="7">
        <v>23.93</v>
      </c>
      <c r="F11" s="7">
        <v>191.42</v>
      </c>
      <c r="G11" s="9" t="s">
        <v>20</v>
      </c>
      <c r="H11" s="9" t="s">
        <v>20</v>
      </c>
      <c r="I11" s="9" t="s">
        <v>32</v>
      </c>
      <c r="J11" s="9" t="s">
        <v>82</v>
      </c>
      <c r="K11" s="9" t="s">
        <v>83</v>
      </c>
      <c r="L11" s="9" t="s">
        <v>84</v>
      </c>
    </row>
    <row r="13" spans="1:12" ht="30" customHeight="1" x14ac:dyDescent="0.25">
      <c r="A13" s="23" t="s">
        <v>85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5" spans="1:12" ht="15.75" customHeight="1" x14ac:dyDescent="0.25">
      <c r="A15" s="2" t="s">
        <v>86</v>
      </c>
    </row>
    <row r="16" spans="1:12" ht="27.95" customHeight="1" x14ac:dyDescent="0.25">
      <c r="A16" s="23" t="s">
        <v>87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8" spans="1:12" ht="20.100000000000001" customHeight="1" x14ac:dyDescent="0.25">
      <c r="A18" s="4" t="s">
        <v>88</v>
      </c>
      <c r="B18" s="4" t="s">
        <v>89</v>
      </c>
      <c r="C18" s="4" t="s">
        <v>90</v>
      </c>
      <c r="D18" s="4" t="s">
        <v>46</v>
      </c>
    </row>
    <row r="19" spans="1:12" ht="72" customHeight="1" x14ac:dyDescent="0.25">
      <c r="A19" s="3" t="s">
        <v>91</v>
      </c>
      <c r="B19" s="3" t="s">
        <v>92</v>
      </c>
      <c r="C19" s="3" t="s">
        <v>93</v>
      </c>
      <c r="D19" s="17" t="s">
        <v>94</v>
      </c>
      <c r="F19" s="3" t="s">
        <v>95</v>
      </c>
    </row>
    <row r="20" spans="1:12" x14ac:dyDescent="0.25">
      <c r="A20" s="3" t="s">
        <v>96</v>
      </c>
      <c r="B20" s="3" t="s">
        <v>97</v>
      </c>
      <c r="C20" s="3" t="s">
        <v>98</v>
      </c>
      <c r="D20" s="17"/>
    </row>
    <row r="21" spans="1:12" ht="21.95" customHeight="1" x14ac:dyDescent="0.25">
      <c r="A21" s="3" t="s">
        <v>99</v>
      </c>
      <c r="B21" s="3" t="s">
        <v>97</v>
      </c>
      <c r="C21" s="3" t="s">
        <v>100</v>
      </c>
      <c r="D21" s="17"/>
    </row>
    <row r="22" spans="1:12" ht="25.5" customHeight="1" x14ac:dyDescent="0.25">
      <c r="A22" s="3" t="s">
        <v>101</v>
      </c>
      <c r="B22" s="3" t="s">
        <v>102</v>
      </c>
      <c r="C22" s="3" t="s">
        <v>103</v>
      </c>
      <c r="D22" s="17"/>
    </row>
    <row r="23" spans="1:12" ht="25.5" customHeight="1" x14ac:dyDescent="0.25">
      <c r="A23" s="3" t="s">
        <v>104</v>
      </c>
      <c r="B23" s="3" t="s">
        <v>102</v>
      </c>
      <c r="C23" s="3" t="s">
        <v>105</v>
      </c>
      <c r="D23" s="17"/>
    </row>
    <row r="24" spans="1:12" ht="25.5" customHeight="1" x14ac:dyDescent="0.25">
      <c r="A24" s="3" t="s">
        <v>106</v>
      </c>
      <c r="B24" s="3" t="s">
        <v>102</v>
      </c>
      <c r="C24" s="3" t="s">
        <v>107</v>
      </c>
      <c r="D24" s="17"/>
    </row>
    <row r="25" spans="1:12" x14ac:dyDescent="0.25">
      <c r="A25" s="23" t="s">
        <v>108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7" spans="1:12" ht="15.75" customHeight="1" x14ac:dyDescent="0.25">
      <c r="A27" s="2" t="s">
        <v>37</v>
      </c>
    </row>
    <row r="28" spans="1:12" ht="21.95" customHeight="1" x14ac:dyDescent="0.25">
      <c r="A28" s="4" t="s">
        <v>109</v>
      </c>
      <c r="B28" s="4" t="s">
        <v>39</v>
      </c>
      <c r="C28" s="4" t="s">
        <v>40</v>
      </c>
      <c r="D28" s="4" t="s">
        <v>41</v>
      </c>
      <c r="E28" s="4" t="s">
        <v>110</v>
      </c>
      <c r="F28" s="4" t="s">
        <v>42</v>
      </c>
      <c r="G28" s="4" t="s">
        <v>43</v>
      </c>
      <c r="H28" s="4" t="s">
        <v>44</v>
      </c>
      <c r="I28" s="4" t="s">
        <v>45</v>
      </c>
      <c r="J28" s="4" t="s">
        <v>46</v>
      </c>
    </row>
    <row r="29" spans="1:12" ht="48" customHeight="1" x14ac:dyDescent="0.25">
      <c r="A29" s="10" t="s">
        <v>111</v>
      </c>
      <c r="B29" s="3" t="s">
        <v>112</v>
      </c>
      <c r="C29" s="12">
        <v>4</v>
      </c>
      <c r="D29" s="3" t="s">
        <v>113</v>
      </c>
      <c r="E29" s="3" t="s">
        <v>114</v>
      </c>
      <c r="F29" s="3" t="s">
        <v>115</v>
      </c>
      <c r="G29" s="11">
        <v>389.98</v>
      </c>
      <c r="H29" s="16">
        <f>G29*$B$4</f>
        <v>37324.985800000002</v>
      </c>
      <c r="I29" s="16">
        <f>G29*12*$B$4</f>
        <v>447899.8296</v>
      </c>
      <c r="J29" s="17" t="s">
        <v>116</v>
      </c>
    </row>
    <row r="30" spans="1:12" ht="48" customHeight="1" x14ac:dyDescent="0.25">
      <c r="A30" s="10" t="s">
        <v>117</v>
      </c>
      <c r="B30" s="3" t="s">
        <v>118</v>
      </c>
      <c r="C30" s="12">
        <v>4</v>
      </c>
      <c r="D30" s="3" t="s">
        <v>113</v>
      </c>
      <c r="E30" s="3" t="s">
        <v>119</v>
      </c>
      <c r="F30" s="3" t="s">
        <v>115</v>
      </c>
      <c r="G30" s="11">
        <v>593.65</v>
      </c>
      <c r="H30" s="16">
        <f>G30*$B$4</f>
        <v>56818.241499999996</v>
      </c>
      <c r="I30" s="16">
        <f>G30*12*$B$4</f>
        <v>681818.89799999993</v>
      </c>
      <c r="J30" s="17" t="s">
        <v>120</v>
      </c>
    </row>
    <row r="31" spans="1:12" ht="48" customHeight="1" x14ac:dyDescent="0.25">
      <c r="A31" s="10" t="s">
        <v>121</v>
      </c>
      <c r="B31" s="3" t="s">
        <v>55</v>
      </c>
      <c r="C31" s="12">
        <v>2</v>
      </c>
      <c r="D31" s="3" t="s">
        <v>56</v>
      </c>
      <c r="E31" s="3" t="s">
        <v>122</v>
      </c>
      <c r="F31" s="3" t="s">
        <v>57</v>
      </c>
      <c r="G31" s="11">
        <v>21.79</v>
      </c>
      <c r="H31" s="16">
        <f>G31*$B$4</f>
        <v>2085.5209</v>
      </c>
      <c r="I31" s="16">
        <f>G31*12*$B$4</f>
        <v>25026.250800000002</v>
      </c>
      <c r="J31" s="17" t="s">
        <v>123</v>
      </c>
    </row>
    <row r="34" spans="1:8" ht="15.75" x14ac:dyDescent="0.25">
      <c r="A34" s="19" t="s">
        <v>124</v>
      </c>
    </row>
    <row r="35" spans="1:8" x14ac:dyDescent="0.25">
      <c r="A35" s="26" t="s">
        <v>125</v>
      </c>
      <c r="B35" s="24"/>
      <c r="C35" s="24"/>
      <c r="D35" s="24"/>
      <c r="E35" s="24"/>
      <c r="F35" s="24"/>
      <c r="G35" s="24"/>
      <c r="H35" s="24"/>
    </row>
    <row r="37" spans="1:8" ht="15.75" x14ac:dyDescent="0.25">
      <c r="A37" s="19" t="s">
        <v>126</v>
      </c>
    </row>
    <row r="38" spans="1:8" x14ac:dyDescent="0.25">
      <c r="A38" s="20" t="s">
        <v>5</v>
      </c>
      <c r="B38" s="20" t="s">
        <v>6</v>
      </c>
      <c r="C38" s="20" t="s">
        <v>7</v>
      </c>
      <c r="D38" s="20" t="s">
        <v>8</v>
      </c>
      <c r="E38" s="20" t="s">
        <v>9</v>
      </c>
      <c r="F38" s="20" t="s">
        <v>10</v>
      </c>
      <c r="G38" s="20" t="s">
        <v>127</v>
      </c>
      <c r="H38" s="20" t="s">
        <v>46</v>
      </c>
    </row>
    <row r="39" spans="1:8" x14ac:dyDescent="0.25">
      <c r="A39" s="21" t="s">
        <v>28</v>
      </c>
      <c r="B39" s="21" t="s">
        <v>29</v>
      </c>
      <c r="C39" s="21" t="s">
        <v>30</v>
      </c>
      <c r="D39" s="21" t="s">
        <v>31</v>
      </c>
      <c r="E39" s="22">
        <v>29.28</v>
      </c>
      <c r="F39" s="22">
        <v>73.2</v>
      </c>
      <c r="G39" s="22">
        <v>10.98</v>
      </c>
      <c r="H39" s="21" t="s">
        <v>128</v>
      </c>
    </row>
    <row r="40" spans="1:8" x14ac:dyDescent="0.25">
      <c r="A40" s="21" t="s">
        <v>28</v>
      </c>
      <c r="B40" s="21" t="s">
        <v>29</v>
      </c>
      <c r="C40" s="21" t="s">
        <v>129</v>
      </c>
      <c r="D40" s="21" t="s">
        <v>31</v>
      </c>
      <c r="E40" s="22">
        <v>36.6</v>
      </c>
      <c r="F40" s="22">
        <v>91.5</v>
      </c>
      <c r="G40" s="22">
        <v>13.73</v>
      </c>
      <c r="H40" s="21" t="s">
        <v>130</v>
      </c>
    </row>
    <row r="41" spans="1:8" x14ac:dyDescent="0.25">
      <c r="A41" s="21" t="s">
        <v>28</v>
      </c>
      <c r="B41" s="21" t="s">
        <v>29</v>
      </c>
      <c r="C41" s="21" t="s">
        <v>131</v>
      </c>
      <c r="D41" s="21" t="s">
        <v>31</v>
      </c>
      <c r="E41" s="22">
        <v>128.1</v>
      </c>
      <c r="F41" s="22">
        <v>402.6</v>
      </c>
      <c r="G41" s="22">
        <v>23.79</v>
      </c>
      <c r="H41" s="21" t="s">
        <v>132</v>
      </c>
    </row>
    <row r="42" spans="1:8" x14ac:dyDescent="0.25">
      <c r="A42" s="26" t="s">
        <v>133</v>
      </c>
      <c r="B42" s="24"/>
      <c r="C42" s="24"/>
      <c r="D42" s="24"/>
      <c r="E42" s="24"/>
      <c r="F42" s="24"/>
      <c r="G42" s="24"/>
      <c r="H42" s="24"/>
    </row>
    <row r="43" spans="1:8" x14ac:dyDescent="0.25">
      <c r="A43" s="26" t="s">
        <v>134</v>
      </c>
      <c r="B43" s="24"/>
      <c r="C43" s="24"/>
      <c r="D43" s="24"/>
      <c r="E43" s="24"/>
      <c r="F43" s="24"/>
      <c r="G43" s="24"/>
      <c r="H43" s="24"/>
    </row>
    <row r="45" spans="1:8" ht="15.75" x14ac:dyDescent="0.25">
      <c r="A45" s="19" t="s">
        <v>135</v>
      </c>
    </row>
    <row r="46" spans="1:8" x14ac:dyDescent="0.25">
      <c r="A46" s="26" t="s">
        <v>136</v>
      </c>
      <c r="B46" s="24"/>
      <c r="C46" s="24"/>
      <c r="D46" s="24"/>
      <c r="E46" s="24"/>
      <c r="F46" s="24"/>
      <c r="G46" s="24"/>
      <c r="H46" s="24"/>
    </row>
    <row r="47" spans="1:8" x14ac:dyDescent="0.25">
      <c r="A47" s="20" t="s">
        <v>5</v>
      </c>
      <c r="B47" s="20" t="s">
        <v>6</v>
      </c>
      <c r="C47" s="20" t="s">
        <v>7</v>
      </c>
      <c r="D47" s="20" t="s">
        <v>8</v>
      </c>
      <c r="E47" s="20" t="s">
        <v>137</v>
      </c>
      <c r="F47" s="20" t="s">
        <v>138</v>
      </c>
      <c r="G47" s="20" t="s">
        <v>139</v>
      </c>
      <c r="H47" s="20" t="s">
        <v>46</v>
      </c>
    </row>
    <row r="48" spans="1:8" x14ac:dyDescent="0.25">
      <c r="A48" s="21" t="s">
        <v>28</v>
      </c>
      <c r="B48" s="21" t="s">
        <v>79</v>
      </c>
      <c r="C48" s="21" t="s">
        <v>140</v>
      </c>
      <c r="D48" s="21" t="s">
        <v>81</v>
      </c>
      <c r="E48" s="22">
        <v>0.05</v>
      </c>
      <c r="F48" s="22">
        <v>0.4</v>
      </c>
      <c r="G48" s="22">
        <v>5.0000000000000001E-3</v>
      </c>
      <c r="H48" s="21" t="s">
        <v>141</v>
      </c>
    </row>
    <row r="49" spans="1:8" x14ac:dyDescent="0.25">
      <c r="A49" s="21" t="s">
        <v>28</v>
      </c>
      <c r="B49" s="21" t="s">
        <v>79</v>
      </c>
      <c r="C49" s="21" t="s">
        <v>142</v>
      </c>
      <c r="D49" s="21" t="s">
        <v>81</v>
      </c>
      <c r="E49" s="22">
        <v>0.25</v>
      </c>
      <c r="F49" s="22">
        <v>2</v>
      </c>
      <c r="G49" s="22">
        <v>2.5000000000000001E-2</v>
      </c>
      <c r="H49" s="21" t="s">
        <v>143</v>
      </c>
    </row>
    <row r="50" spans="1:8" x14ac:dyDescent="0.25">
      <c r="A50" s="21" t="s">
        <v>28</v>
      </c>
      <c r="B50" s="21" t="s">
        <v>79</v>
      </c>
      <c r="C50" s="21" t="s">
        <v>144</v>
      </c>
      <c r="D50" s="21" t="s">
        <v>81</v>
      </c>
      <c r="E50" s="22">
        <v>0.15</v>
      </c>
      <c r="F50" s="22">
        <v>0.6</v>
      </c>
      <c r="G50" s="22">
        <v>7.4999999999999997E-2</v>
      </c>
      <c r="H50" s="21" t="s">
        <v>145</v>
      </c>
    </row>
    <row r="51" spans="1:8" x14ac:dyDescent="0.25">
      <c r="A51" s="21" t="s">
        <v>28</v>
      </c>
      <c r="B51" s="21" t="s">
        <v>79</v>
      </c>
      <c r="C51" s="21" t="s">
        <v>146</v>
      </c>
      <c r="D51" s="21" t="s">
        <v>81</v>
      </c>
      <c r="E51" s="22">
        <v>2.5</v>
      </c>
      <c r="F51" s="22">
        <v>15</v>
      </c>
      <c r="G51" s="22">
        <v>0.25</v>
      </c>
      <c r="H51" s="21" t="s">
        <v>147</v>
      </c>
    </row>
    <row r="52" spans="1:8" x14ac:dyDescent="0.25">
      <c r="A52" s="21" t="s">
        <v>28</v>
      </c>
      <c r="B52" s="21" t="s">
        <v>79</v>
      </c>
      <c r="C52" s="21" t="s">
        <v>148</v>
      </c>
      <c r="D52" s="21" t="s">
        <v>81</v>
      </c>
      <c r="E52" s="22">
        <v>5</v>
      </c>
      <c r="F52" s="22">
        <v>30</v>
      </c>
      <c r="G52" s="22">
        <v>0.5</v>
      </c>
      <c r="H52" s="21" t="s">
        <v>149</v>
      </c>
    </row>
    <row r="53" spans="1:8" x14ac:dyDescent="0.25">
      <c r="A53" s="26" t="s">
        <v>150</v>
      </c>
      <c r="B53" s="24"/>
      <c r="C53" s="24"/>
      <c r="D53" s="24"/>
      <c r="E53" s="24"/>
      <c r="F53" s="24"/>
      <c r="G53" s="24"/>
      <c r="H53" s="24"/>
    </row>
    <row r="54" spans="1:8" x14ac:dyDescent="0.25">
      <c r="A54" s="26" t="s">
        <v>151</v>
      </c>
      <c r="B54" s="24"/>
      <c r="C54" s="24"/>
      <c r="D54" s="24"/>
      <c r="E54" s="24"/>
      <c r="F54" s="24"/>
      <c r="G54" s="24"/>
      <c r="H54" s="24"/>
    </row>
    <row r="56" spans="1:8" ht="15.75" x14ac:dyDescent="0.25">
      <c r="A56" s="19" t="s">
        <v>152</v>
      </c>
    </row>
    <row r="57" spans="1:8" x14ac:dyDescent="0.25">
      <c r="A57" s="26" t="s">
        <v>153</v>
      </c>
      <c r="B57" s="24"/>
      <c r="C57" s="24"/>
      <c r="D57" s="24"/>
      <c r="E57" s="24"/>
      <c r="F57" s="24"/>
      <c r="G57" s="24"/>
      <c r="H57" s="24"/>
    </row>
    <row r="58" spans="1:8" x14ac:dyDescent="0.25">
      <c r="A58" s="20" t="s">
        <v>8</v>
      </c>
      <c r="B58" s="20" t="s">
        <v>154</v>
      </c>
      <c r="C58" s="20" t="s">
        <v>90</v>
      </c>
      <c r="D58" s="20" t="s">
        <v>46</v>
      </c>
    </row>
    <row r="59" spans="1:8" x14ac:dyDescent="0.25">
      <c r="A59" s="21" t="s">
        <v>155</v>
      </c>
      <c r="B59" s="21" t="s">
        <v>156</v>
      </c>
      <c r="C59" s="21" t="s">
        <v>157</v>
      </c>
      <c r="D59" s="21" t="s">
        <v>158</v>
      </c>
    </row>
    <row r="60" spans="1:8" x14ac:dyDescent="0.25">
      <c r="A60" s="21" t="s">
        <v>159</v>
      </c>
      <c r="B60" s="21" t="s">
        <v>160</v>
      </c>
      <c r="C60" s="21" t="s">
        <v>161</v>
      </c>
      <c r="D60" s="21" t="s">
        <v>162</v>
      </c>
    </row>
    <row r="61" spans="1:8" x14ac:dyDescent="0.25">
      <c r="A61" s="21" t="s">
        <v>163</v>
      </c>
      <c r="B61" s="21" t="s">
        <v>164</v>
      </c>
      <c r="C61" s="21" t="s">
        <v>165</v>
      </c>
      <c r="D61" s="21" t="s">
        <v>166</v>
      </c>
    </row>
    <row r="62" spans="1:8" x14ac:dyDescent="0.25">
      <c r="A62" s="21" t="s">
        <v>167</v>
      </c>
      <c r="B62" s="21" t="s">
        <v>168</v>
      </c>
      <c r="C62" s="21" t="s">
        <v>169</v>
      </c>
      <c r="D62" s="21" t="s">
        <v>166</v>
      </c>
    </row>
    <row r="63" spans="1:8" x14ac:dyDescent="0.25">
      <c r="A63" s="26" t="s">
        <v>170</v>
      </c>
      <c r="B63" s="24"/>
      <c r="C63" s="24"/>
      <c r="D63" s="24"/>
      <c r="E63" s="24"/>
      <c r="F63" s="24"/>
      <c r="G63" s="24"/>
      <c r="H63" s="24"/>
    </row>
    <row r="65" spans="1:8" ht="15.75" x14ac:dyDescent="0.25">
      <c r="A65" s="19" t="s">
        <v>171</v>
      </c>
    </row>
    <row r="66" spans="1:8" x14ac:dyDescent="0.25">
      <c r="A66" s="20" t="s">
        <v>172</v>
      </c>
      <c r="B66" s="20" t="s">
        <v>173</v>
      </c>
      <c r="C66" s="20" t="s">
        <v>174</v>
      </c>
    </row>
    <row r="67" spans="1:8" x14ac:dyDescent="0.25">
      <c r="A67" s="21" t="s">
        <v>175</v>
      </c>
      <c r="B67" s="21" t="s">
        <v>176</v>
      </c>
      <c r="C67" s="21" t="s">
        <v>177</v>
      </c>
    </row>
    <row r="68" spans="1:8" x14ac:dyDescent="0.25">
      <c r="A68" s="21" t="s">
        <v>178</v>
      </c>
      <c r="B68" s="21" t="s">
        <v>179</v>
      </c>
      <c r="C68" s="21" t="s">
        <v>180</v>
      </c>
    </row>
    <row r="69" spans="1:8" x14ac:dyDescent="0.25">
      <c r="A69" s="21" t="s">
        <v>181</v>
      </c>
      <c r="B69" s="21" t="s">
        <v>182</v>
      </c>
      <c r="C69" s="21" t="s">
        <v>183</v>
      </c>
    </row>
    <row r="70" spans="1:8" x14ac:dyDescent="0.25">
      <c r="A70" s="26" t="s">
        <v>184</v>
      </c>
      <c r="B70" s="24"/>
      <c r="C70" s="24"/>
      <c r="D70" s="24"/>
      <c r="E70" s="24"/>
      <c r="F70" s="24"/>
      <c r="G70" s="24"/>
      <c r="H70" s="24"/>
    </row>
  </sheetData>
  <mergeCells count="13">
    <mergeCell ref="A13:L13"/>
    <mergeCell ref="A42:H42"/>
    <mergeCell ref="A46:H46"/>
    <mergeCell ref="A2:D3"/>
    <mergeCell ref="A70:H70"/>
    <mergeCell ref="A16:L16"/>
    <mergeCell ref="A53:H53"/>
    <mergeCell ref="A25:L25"/>
    <mergeCell ref="A35:H35"/>
    <mergeCell ref="A43:H43"/>
    <mergeCell ref="A57:H57"/>
    <mergeCell ref="A54:H54"/>
    <mergeCell ref="A63:H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 Extension</vt:lpstr>
      <vt:lpstr>Admission Bot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2026-07-30T11:09:23Z</dcterms:created>
  <dcterms:modified xsi:type="dcterms:W3CDTF">2026-08-17T13:00:08Z</dcterms:modified>
</cp:coreProperties>
</file>