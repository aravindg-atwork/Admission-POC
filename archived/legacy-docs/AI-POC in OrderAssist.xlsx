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 Proposal Count" sheetId="1" r:id="rId5"/>
    <sheet state="visible" name="AI Pricing" sheetId="2" r:id="rId6"/>
    <sheet state="visible" name="Token Usage" sheetId="3" r:id="rId7"/>
    <sheet state="visible" name="AI Token Usage" sheetId="4" r:id="rId8"/>
  </sheets>
  <definedNames/>
  <calcPr/>
</workbook>
</file>

<file path=xl/sharedStrings.xml><?xml version="1.0" encoding="utf-8"?>
<sst xmlns="http://schemas.openxmlformats.org/spreadsheetml/2006/main" count="215" uniqueCount="96">
  <si>
    <t>For 1 user of 1 Organization for 1 OCR</t>
  </si>
  <si>
    <t>SNo</t>
  </si>
  <si>
    <t>AI Provider</t>
  </si>
  <si>
    <t>AI Tools - API</t>
  </si>
  <si>
    <t>Document Type</t>
  </si>
  <si>
    <t>Input Token Consumed</t>
  </si>
  <si>
    <t>Output Token Consumed</t>
  </si>
  <si>
    <t>Model</t>
  </si>
  <si>
    <t>Total Token Consumed</t>
  </si>
  <si>
    <t>Time Taken (seconds)</t>
  </si>
  <si>
    <t>API Plan</t>
  </si>
  <si>
    <t>Plan Pricing</t>
  </si>
  <si>
    <t>Input Price (per 1M Tokens)</t>
  </si>
  <si>
    <t>Data</t>
  </si>
  <si>
    <t>Output Price (per 1M Tokens)</t>
  </si>
  <si>
    <t>OCR</t>
  </si>
  <si>
    <t>Celestial</t>
  </si>
  <si>
    <t>AI Writer</t>
  </si>
  <si>
    <t>AI Insights</t>
  </si>
  <si>
    <t>Vision</t>
  </si>
  <si>
    <t>JSON Output</t>
  </si>
  <si>
    <t>Eautec</t>
  </si>
  <si>
    <t>Free Tier</t>
  </si>
  <si>
    <t>For 1 user of 1 Organization for 1 AI Writer for 1 Field</t>
  </si>
  <si>
    <t>Gemini 3.5 Flash</t>
  </si>
  <si>
    <t>Overall Suitability</t>
  </si>
  <si>
    <t xml:space="preserve">Image </t>
  </si>
  <si>
    <t>Google Gemini</t>
  </si>
  <si>
    <t>Gemini 2.5 Flash</t>
  </si>
  <si>
    <t>Pay-as-you-go (Google AI Studio / Vertex AI)</t>
  </si>
  <si>
    <t>No monthly subscription</t>
  </si>
  <si>
    <t>~$0.30</t>
  </si>
  <si>
    <t>~$2.50</t>
  </si>
  <si>
    <t>⭐⭐⭐⭐⭐</t>
  </si>
  <si>
    <t>⭐⭐⭐⭐☆</t>
  </si>
  <si>
    <t>Completed</t>
  </si>
  <si>
    <t>Yes</t>
  </si>
  <si>
    <t>18.02s</t>
  </si>
  <si>
    <t>~$0.50</t>
  </si>
  <si>
    <t>~$3.00</t>
  </si>
  <si>
    <t>PDF - 1 page</t>
  </si>
  <si>
    <t>OpenAI</t>
  </si>
  <si>
    <t>GPT-5 mini</t>
  </si>
  <si>
    <t>Pay-as-you-go API</t>
  </si>
  <si>
    <t>~$0.25</t>
  </si>
  <si>
    <t>~$2.00</t>
  </si>
  <si>
    <t>Limited</t>
  </si>
  <si>
    <t>14.71s</t>
  </si>
  <si>
    <t>DeepSeek</t>
  </si>
  <si>
    <t>DeepSeek V3</t>
  </si>
  <si>
    <t>~$0.20–0.30</t>
  </si>
  <si>
    <t>~$0.80</t>
  </si>
  <si>
    <t>⭐⭐⭐☆</t>
  </si>
  <si>
    <t>⭐⭐⭐</t>
  </si>
  <si>
    <t>PDF - 2 pages</t>
  </si>
  <si>
    <t>⭐⭐⭐⭐</t>
  </si>
  <si>
    <t>xAI</t>
  </si>
  <si>
    <t>Grok</t>
  </si>
  <si>
    <t>~$0.20–0.50</t>
  </si>
  <si>
    <t>~$0.50–3.00</t>
  </si>
  <si>
    <t>GPT-5</t>
  </si>
  <si>
    <t>~$1.25</t>
  </si>
  <si>
    <t>~$10.00</t>
  </si>
  <si>
    <t>No</t>
  </si>
  <si>
    <t>GPT-4o</t>
  </si>
  <si>
    <t>Anthropic</t>
  </si>
  <si>
    <t>Claude Sonnet</t>
  </si>
  <si>
    <t>~$15.00</t>
  </si>
  <si>
    <t>15s</t>
  </si>
  <si>
    <t>OpenAI GPT5.4 mini</t>
  </si>
  <si>
    <t>5.19s</t>
  </si>
  <si>
    <t>3.28s</t>
  </si>
  <si>
    <t>6.62s</t>
  </si>
  <si>
    <t>Mistral AI</t>
  </si>
  <si>
    <t>Mistral Large</t>
  </si>
  <si>
    <t>~$6.00</t>
  </si>
  <si>
    <t>Cancelled</t>
  </si>
  <si>
    <t xml:space="preserve">Completed </t>
  </si>
  <si>
    <t>Proposals Creation</t>
  </si>
  <si>
    <t>Nil</t>
  </si>
  <si>
    <t>Orders Creation</t>
  </si>
  <si>
    <t>Input</t>
  </si>
  <si>
    <t>Prompt</t>
  </si>
  <si>
    <t>120-150</t>
  </si>
  <si>
    <t>Total</t>
  </si>
  <si>
    <t>PO - PDF/ Image</t>
  </si>
  <si>
    <t>1300 - 1500</t>
  </si>
  <si>
    <t>Processing</t>
  </si>
  <si>
    <t>800-1000</t>
  </si>
  <si>
    <t>Output</t>
  </si>
  <si>
    <t>2220 - 2650</t>
  </si>
  <si>
    <t>Tokens Consumed</t>
  </si>
  <si>
    <t xml:space="preserve">JSON </t>
  </si>
  <si>
    <t>250-300</t>
  </si>
  <si>
    <t>Total value Calculation</t>
  </si>
  <si>
    <t>Cost = (Tokens Used ÷ 1,000,000) × Price per Million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</si>
</sst>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yyyy"/>
  </numFmts>
  <fonts count="5">
    <font>
      <sz val="10.0"/>
      <color rgb="FF000000"/>
      <name val="Arial"/>
      <scheme val="minor"/>
    </font>
    <font>
      <b/>
      <color theme="1"/>
      <name val="Verdana"/>
    </font>
    <font>
      <color theme="1"/>
      <name val="Verdana"/>
    </font>
    <font/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 shrinkToFit="0" wrapText="1"/>
    </xf>
    <xf borderId="2" fillId="0" fontId="1" numFmtId="0" xfId="0" applyAlignment="1" applyBorder="1" applyFont="1">
      <alignment horizontal="center" readingOrder="0" shrinkToFit="0" vertical="center" wrapText="1"/>
    </xf>
    <xf borderId="0" fillId="0" fontId="1" numFmtId="0" xfId="0" applyFont="1"/>
    <xf borderId="3" fillId="0" fontId="2" numFmtId="0" xfId="0" applyAlignment="1" applyBorder="1" applyFont="1">
      <alignment readingOrder="0"/>
    </xf>
    <xf borderId="1" fillId="0" fontId="1" numFmtId="0" xfId="0" applyAlignment="1" applyBorder="1" applyFont="1">
      <alignment horizontal="right" readingOrder="0" shrinkToFit="0" wrapText="1"/>
    </xf>
    <xf borderId="3" fillId="0" fontId="1" numFmtId="0" xfId="0" applyAlignment="1" applyBorder="1" applyFont="1">
      <alignment horizontal="center" readingOrder="0" shrinkToFit="0" vertical="center" wrapText="1"/>
    </xf>
    <xf borderId="4" fillId="0" fontId="3" numFmtId="0" xfId="0" applyBorder="1" applyFont="1"/>
    <xf borderId="5" fillId="0" fontId="3" numFmtId="0" xfId="0" applyBorder="1" applyFont="1"/>
    <xf borderId="5" fillId="0" fontId="2" numFmtId="0" xfId="0" applyBorder="1" applyFont="1"/>
    <xf borderId="6" fillId="0" fontId="1" numFmtId="0" xfId="0" applyAlignment="1" applyBorder="1" applyFont="1">
      <alignment horizontal="center" readingOrder="0" shrinkToFit="0" vertical="center" wrapText="1"/>
    </xf>
    <xf borderId="0" fillId="0" fontId="2" numFmtId="0" xfId="0" applyFont="1"/>
    <xf borderId="7" fillId="0" fontId="3" numFmtId="0" xfId="0" applyBorder="1" applyFont="1"/>
    <xf borderId="1" fillId="0" fontId="2" numFmtId="0" xfId="0" applyAlignment="1" applyBorder="1" applyFont="1">
      <alignment readingOrder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1" fillId="0" fontId="2" numFmtId="0" xfId="0" applyBorder="1" applyFont="1"/>
    <xf borderId="1" fillId="0" fontId="2" numFmtId="0" xfId="0" applyAlignment="1" applyBorder="1" applyFont="1">
      <alignment readingOrder="0" shrinkToFit="0" wrapText="1"/>
    </xf>
    <xf borderId="8" fillId="0" fontId="3" numFmtId="0" xfId="0" applyBorder="1" applyFont="1"/>
    <xf borderId="9" fillId="0" fontId="3" numFmtId="0" xfId="0" applyBorder="1" applyFont="1"/>
    <xf borderId="1" fillId="2" fontId="2" numFmtId="0" xfId="0" applyAlignment="1" applyBorder="1" applyFill="1" applyFont="1">
      <alignment horizontal="right" readingOrder="0" shrinkToFit="0" wrapText="1"/>
    </xf>
    <xf borderId="10" fillId="0" fontId="3" numFmtId="0" xfId="0" applyBorder="1" applyFont="1"/>
    <xf borderId="11" fillId="0" fontId="2" numFmtId="0" xfId="0" applyBorder="1" applyFont="1"/>
    <xf borderId="1" fillId="0" fontId="4" numFmtId="3" xfId="0" applyAlignment="1" applyBorder="1" applyFont="1" applyNumberFormat="1">
      <alignment readingOrder="0"/>
    </xf>
    <xf borderId="0" fillId="0" fontId="4" numFmtId="0" xfId="0" applyAlignment="1" applyFont="1">
      <alignment readingOrder="0"/>
    </xf>
    <xf borderId="1" fillId="0" fontId="2" numFmtId="3" xfId="0" applyBorder="1" applyFont="1" applyNumberFormat="1"/>
    <xf borderId="0" fillId="0" fontId="4" numFmtId="3" xfId="0" applyAlignment="1" applyFont="1" applyNumberFormat="1">
      <alignment readingOrder="0"/>
    </xf>
    <xf borderId="1" fillId="0" fontId="2" numFmtId="0" xfId="0" applyAlignment="1" applyBorder="1" applyFont="1">
      <alignment horizontal="right" readingOrder="0" shrinkToFit="0" wrapText="1"/>
    </xf>
    <xf borderId="1" fillId="0" fontId="4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2" fillId="0" fontId="2" numFmtId="0" xfId="0" applyBorder="1" applyFont="1"/>
    <xf borderId="1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9" fillId="0" fontId="2" numFmtId="0" xfId="0" applyBorder="1" applyFont="1"/>
    <xf borderId="13" fillId="0" fontId="2" numFmtId="0" xfId="0" applyBorder="1" applyFont="1"/>
    <xf borderId="10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24.63"/>
    <col customWidth="1" min="3" max="3" width="14.5"/>
  </cols>
  <sheetData>
    <row r="1">
      <c r="A1" s="3" t="s">
        <v>1</v>
      </c>
      <c r="B1" s="7" t="s">
        <v>13</v>
      </c>
      <c r="C1" s="9"/>
      <c r="D1" s="11" t="s">
        <v>16</v>
      </c>
      <c r="E1" s="13"/>
      <c r="F1" s="11" t="s">
        <v>21</v>
      </c>
      <c r="G1" s="13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>
      <c r="A2" s="19"/>
      <c r="B2" s="20"/>
      <c r="C2" s="22"/>
      <c r="D2" s="30" t="s">
        <v>35</v>
      </c>
      <c r="E2" s="30" t="s">
        <v>76</v>
      </c>
      <c r="F2" s="30" t="s">
        <v>77</v>
      </c>
      <c r="G2" s="30" t="s">
        <v>76</v>
      </c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</row>
    <row r="3" ht="36.0" customHeight="1">
      <c r="A3" s="31">
        <v>1.0</v>
      </c>
      <c r="B3" s="31" t="s">
        <v>78</v>
      </c>
      <c r="C3" s="32">
        <v>46023.0</v>
      </c>
      <c r="D3" s="31">
        <v>17.0</v>
      </c>
      <c r="E3" s="31">
        <v>14.0</v>
      </c>
      <c r="F3" s="31" t="s">
        <v>79</v>
      </c>
      <c r="G3" s="31" t="s">
        <v>79</v>
      </c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</row>
    <row r="4" ht="36.0" customHeight="1">
      <c r="A4" s="31">
        <v>2.0</v>
      </c>
      <c r="B4" s="31" t="s">
        <v>78</v>
      </c>
      <c r="C4" s="32">
        <v>46054.0</v>
      </c>
      <c r="D4" s="31">
        <v>114.0</v>
      </c>
      <c r="E4" s="31">
        <v>20.0</v>
      </c>
      <c r="F4" s="31" t="s">
        <v>79</v>
      </c>
      <c r="G4" s="31" t="s">
        <v>79</v>
      </c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</row>
    <row r="5" ht="36.0" customHeight="1">
      <c r="A5" s="31">
        <v>3.0</v>
      </c>
      <c r="B5" s="31" t="s">
        <v>78</v>
      </c>
      <c r="C5" s="32">
        <v>46082.0</v>
      </c>
      <c r="D5" s="31">
        <v>177.0</v>
      </c>
      <c r="E5" s="31">
        <v>0.0</v>
      </c>
      <c r="F5" s="31" t="s">
        <v>79</v>
      </c>
      <c r="G5" s="31" t="s">
        <v>79</v>
      </c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</row>
    <row r="6" ht="36.0" customHeight="1">
      <c r="A6" s="31">
        <v>4.0</v>
      </c>
      <c r="B6" s="31" t="s">
        <v>78</v>
      </c>
      <c r="C6" s="32">
        <v>46113.0</v>
      </c>
      <c r="D6" s="31">
        <v>133.0</v>
      </c>
      <c r="E6" s="31">
        <v>1.0</v>
      </c>
      <c r="F6" s="31" t="s">
        <v>79</v>
      </c>
      <c r="G6" s="31" t="s">
        <v>79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</row>
    <row r="7" ht="36.0" customHeight="1">
      <c r="A7" s="31">
        <v>5.0</v>
      </c>
      <c r="B7" s="31" t="s">
        <v>78</v>
      </c>
      <c r="C7" s="32">
        <v>46143.0</v>
      </c>
      <c r="D7" s="31">
        <v>124.0</v>
      </c>
      <c r="E7" s="31">
        <v>2.0</v>
      </c>
      <c r="F7" s="31" t="s">
        <v>79</v>
      </c>
      <c r="G7" s="31" t="s">
        <v>79</v>
      </c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</row>
    <row r="8" ht="36.0" customHeight="1">
      <c r="A8" s="31">
        <v>6.0</v>
      </c>
      <c r="B8" s="31" t="s">
        <v>78</v>
      </c>
      <c r="C8" s="32">
        <v>46174.0</v>
      </c>
      <c r="D8" s="31">
        <v>169.0</v>
      </c>
      <c r="E8" s="31">
        <v>1.0</v>
      </c>
      <c r="F8" s="31" t="s">
        <v>79</v>
      </c>
      <c r="G8" s="31" t="s">
        <v>79</v>
      </c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</row>
    <row r="9" ht="33.75" customHeight="1">
      <c r="A9" s="31">
        <v>7.0</v>
      </c>
      <c r="B9" s="31" t="s">
        <v>80</v>
      </c>
      <c r="C9" s="32">
        <v>46023.0</v>
      </c>
      <c r="D9" s="31">
        <v>279.0</v>
      </c>
      <c r="E9" s="31">
        <v>4.0</v>
      </c>
      <c r="F9" s="31">
        <v>91.0</v>
      </c>
      <c r="G9" s="31">
        <v>1.0</v>
      </c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</row>
    <row r="10" ht="33.0" customHeight="1">
      <c r="A10" s="31">
        <v>8.0</v>
      </c>
      <c r="B10" s="31" t="s">
        <v>80</v>
      </c>
      <c r="C10" s="32">
        <v>46054.0</v>
      </c>
      <c r="D10" s="31">
        <v>303.0</v>
      </c>
      <c r="E10" s="31">
        <v>10.0</v>
      </c>
      <c r="F10" s="31">
        <v>88.0</v>
      </c>
      <c r="G10" s="31">
        <v>0.0</v>
      </c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</row>
    <row r="11" ht="30.75" customHeight="1">
      <c r="A11" s="31">
        <v>9.0</v>
      </c>
      <c r="B11" s="31" t="s">
        <v>80</v>
      </c>
      <c r="C11" s="32">
        <v>46082.0</v>
      </c>
      <c r="D11" s="31">
        <v>351.0</v>
      </c>
      <c r="E11" s="31">
        <v>17.0</v>
      </c>
      <c r="F11" s="31">
        <v>90.0</v>
      </c>
      <c r="G11" s="31">
        <v>0.0</v>
      </c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</row>
    <row r="12" ht="30.75" customHeight="1">
      <c r="A12" s="31">
        <v>10.0</v>
      </c>
      <c r="B12" s="31" t="s">
        <v>80</v>
      </c>
      <c r="C12" s="32">
        <v>46113.0</v>
      </c>
      <c r="D12" s="31">
        <v>260.0</v>
      </c>
      <c r="E12" s="31">
        <v>19.0</v>
      </c>
      <c r="F12" s="31">
        <v>82.0</v>
      </c>
      <c r="G12" s="31">
        <v>1.0</v>
      </c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</row>
    <row r="13" ht="27.0" customHeight="1">
      <c r="A13" s="31">
        <v>11.0</v>
      </c>
      <c r="B13" s="31" t="s">
        <v>80</v>
      </c>
      <c r="C13" s="32">
        <v>46143.0</v>
      </c>
      <c r="D13" s="31">
        <v>242.0</v>
      </c>
      <c r="E13" s="31">
        <v>14.0</v>
      </c>
      <c r="F13" s="31">
        <v>114.0</v>
      </c>
      <c r="G13" s="31">
        <v>0.0</v>
      </c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ht="29.25" customHeight="1">
      <c r="A14" s="31">
        <v>12.0</v>
      </c>
      <c r="B14" s="31" t="s">
        <v>80</v>
      </c>
      <c r="C14" s="32">
        <v>46174.0</v>
      </c>
      <c r="D14" s="31">
        <v>237.0</v>
      </c>
      <c r="E14" s="31">
        <v>5.0</v>
      </c>
      <c r="F14" s="31">
        <v>94.0</v>
      </c>
      <c r="G14" s="31">
        <v>1.0</v>
      </c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</row>
    <row r="15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</row>
    <row r="16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</row>
    <row r="17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</row>
    <row r="18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</row>
    <row r="19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</row>
    <row r="20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</row>
    <row r="2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</row>
    <row r="22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</row>
    <row r="23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</row>
    <row r="24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</row>
    <row r="25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</row>
    <row r="26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</row>
    <row r="27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</row>
    <row r="28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</row>
    <row r="30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</row>
    <row r="3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</row>
    <row r="32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</row>
    <row r="34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</row>
    <row r="35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</row>
    <row r="36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</row>
    <row r="38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</row>
    <row r="39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</row>
    <row r="40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</row>
    <row r="42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</row>
    <row r="43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</row>
    <row r="44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</row>
    <row r="4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</row>
    <row r="46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</row>
    <row r="47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</row>
    <row r="48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</row>
    <row r="49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</row>
    <row r="5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</row>
    <row r="1001">
      <c r="A1001" s="33"/>
      <c r="B1001" s="33"/>
      <c r="C1001" s="3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  <c r="AA1001" s="33"/>
    </row>
    <row r="1002">
      <c r="A1002" s="33"/>
      <c r="B1002" s="33"/>
      <c r="C1002" s="33"/>
      <c r="D1002" s="33"/>
      <c r="E1002" s="33"/>
      <c r="F1002" s="33"/>
      <c r="G1002" s="33"/>
      <c r="H1002" s="33"/>
      <c r="I1002" s="33"/>
      <c r="J1002" s="33"/>
      <c r="K1002" s="33"/>
      <c r="L1002" s="33"/>
      <c r="M1002" s="33"/>
      <c r="N1002" s="33"/>
      <c r="O1002" s="33"/>
      <c r="P1002" s="33"/>
      <c r="Q1002" s="33"/>
      <c r="R1002" s="33"/>
      <c r="S1002" s="33"/>
      <c r="T1002" s="33"/>
      <c r="U1002" s="33"/>
      <c r="V1002" s="33"/>
      <c r="W1002" s="33"/>
      <c r="X1002" s="33"/>
      <c r="Y1002" s="33"/>
      <c r="Z1002" s="33"/>
      <c r="AA1002" s="33"/>
    </row>
    <row r="1003">
      <c r="A1003" s="33"/>
      <c r="B1003" s="33"/>
      <c r="C1003" s="33"/>
      <c r="D1003" s="33"/>
      <c r="E1003" s="33"/>
      <c r="F1003" s="33"/>
      <c r="G1003" s="33"/>
      <c r="H1003" s="33"/>
      <c r="I1003" s="33"/>
      <c r="J1003" s="33"/>
      <c r="K1003" s="33"/>
      <c r="L1003" s="33"/>
      <c r="M1003" s="33"/>
      <c r="N1003" s="33"/>
      <c r="O1003" s="33"/>
      <c r="P1003" s="33"/>
      <c r="Q1003" s="33"/>
      <c r="R1003" s="33"/>
      <c r="S1003" s="33"/>
      <c r="T1003" s="33"/>
      <c r="U1003" s="33"/>
      <c r="V1003" s="33"/>
      <c r="W1003" s="33"/>
      <c r="X1003" s="33"/>
      <c r="Y1003" s="33"/>
      <c r="Z1003" s="33"/>
      <c r="AA1003" s="33"/>
    </row>
    <row r="1004">
      <c r="A1004" s="33"/>
      <c r="B1004" s="33"/>
      <c r="C1004" s="33"/>
      <c r="D1004" s="33"/>
      <c r="E1004" s="33"/>
      <c r="F1004" s="33"/>
      <c r="G1004" s="33"/>
      <c r="H1004" s="33"/>
      <c r="I1004" s="33"/>
      <c r="J1004" s="33"/>
      <c r="K1004" s="33"/>
      <c r="L1004" s="33"/>
      <c r="M1004" s="33"/>
      <c r="N1004" s="33"/>
      <c r="O1004" s="33"/>
      <c r="P1004" s="33"/>
      <c r="Q1004" s="33"/>
      <c r="R1004" s="33"/>
      <c r="S1004" s="33"/>
      <c r="T1004" s="33"/>
      <c r="U1004" s="33"/>
      <c r="V1004" s="33"/>
      <c r="W1004" s="33"/>
      <c r="X1004" s="33"/>
      <c r="Y1004" s="33"/>
      <c r="Z1004" s="33"/>
      <c r="AA1004" s="33"/>
    </row>
    <row r="1005">
      <c r="A1005" s="33"/>
      <c r="B1005" s="33"/>
      <c r="C1005" s="33"/>
      <c r="D1005" s="33"/>
      <c r="E1005" s="33"/>
      <c r="F1005" s="33"/>
      <c r="G1005" s="33"/>
      <c r="H1005" s="33"/>
      <c r="I1005" s="33"/>
      <c r="J1005" s="33"/>
      <c r="K1005" s="33"/>
      <c r="L1005" s="33"/>
      <c r="M1005" s="33"/>
      <c r="N1005" s="33"/>
      <c r="O1005" s="33"/>
      <c r="P1005" s="33"/>
      <c r="Q1005" s="33"/>
      <c r="R1005" s="33"/>
      <c r="S1005" s="33"/>
      <c r="T1005" s="33"/>
      <c r="U1005" s="33"/>
      <c r="V1005" s="33"/>
      <c r="W1005" s="33"/>
      <c r="X1005" s="33"/>
      <c r="Y1005" s="33"/>
      <c r="Z1005" s="33"/>
      <c r="AA1005" s="33"/>
    </row>
    <row r="1006">
      <c r="A1006" s="33"/>
      <c r="B1006" s="33"/>
      <c r="C1006" s="33"/>
      <c r="D1006" s="33"/>
      <c r="E1006" s="33"/>
      <c r="F1006" s="33"/>
      <c r="G1006" s="33"/>
      <c r="H1006" s="33"/>
      <c r="I1006" s="33"/>
      <c r="J1006" s="33"/>
      <c r="K1006" s="33"/>
      <c r="L1006" s="33"/>
      <c r="M1006" s="33"/>
      <c r="N1006" s="33"/>
      <c r="O1006" s="33"/>
      <c r="P1006" s="33"/>
      <c r="Q1006" s="33"/>
      <c r="R1006" s="33"/>
      <c r="S1006" s="33"/>
      <c r="T1006" s="33"/>
      <c r="U1006" s="33"/>
      <c r="V1006" s="33"/>
      <c r="W1006" s="33"/>
      <c r="X1006" s="33"/>
      <c r="Y1006" s="33"/>
      <c r="Z1006" s="33"/>
      <c r="AA1006" s="33"/>
    </row>
  </sheetData>
  <mergeCells count="4">
    <mergeCell ref="A1:A2"/>
    <mergeCell ref="B1:C2"/>
    <mergeCell ref="D1:E1"/>
    <mergeCell ref="F1:G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21.13"/>
    <col customWidth="1" min="3" max="3" width="17.5"/>
    <col customWidth="1" min="4" max="4" width="21.38"/>
    <col customWidth="1" min="5" max="5" width="14.38"/>
    <col customWidth="1" min="6" max="6" width="15.63"/>
    <col customWidth="1" min="7" max="7" width="16.63"/>
    <col customWidth="1" min="8" max="10" width="12.5"/>
    <col customWidth="1" min="11" max="11" width="13.0"/>
    <col customWidth="1" min="12" max="12" width="9.38"/>
    <col customWidth="1" min="13" max="13" width="17.75"/>
  </cols>
  <sheetData>
    <row r="1">
      <c r="A1" s="2" t="s">
        <v>2</v>
      </c>
      <c r="B1" s="2" t="s">
        <v>7</v>
      </c>
      <c r="C1" s="2" t="s">
        <v>10</v>
      </c>
      <c r="D1" s="2" t="s">
        <v>11</v>
      </c>
      <c r="E1" s="6" t="s">
        <v>12</v>
      </c>
      <c r="F1" s="6" t="s">
        <v>14</v>
      </c>
      <c r="G1" s="2" t="s">
        <v>15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22</v>
      </c>
      <c r="M1" s="2" t="s">
        <v>25</v>
      </c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8" t="s">
        <v>27</v>
      </c>
      <c r="B2" s="18" t="s">
        <v>28</v>
      </c>
      <c r="C2" s="18" t="s">
        <v>29</v>
      </c>
      <c r="D2" s="18" t="s">
        <v>30</v>
      </c>
      <c r="E2" s="21" t="s">
        <v>31</v>
      </c>
      <c r="F2" s="21" t="s">
        <v>32</v>
      </c>
      <c r="G2" s="18" t="s">
        <v>33</v>
      </c>
      <c r="H2" s="18" t="s">
        <v>34</v>
      </c>
      <c r="I2" s="18" t="s">
        <v>33</v>
      </c>
      <c r="J2" s="18" t="s">
        <v>33</v>
      </c>
      <c r="K2" s="18" t="s">
        <v>33</v>
      </c>
      <c r="L2" s="18" t="s">
        <v>36</v>
      </c>
      <c r="M2" s="18" t="s">
        <v>33</v>
      </c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8" t="s">
        <v>27</v>
      </c>
      <c r="B3" s="18" t="s">
        <v>24</v>
      </c>
      <c r="C3" s="18" t="s">
        <v>29</v>
      </c>
      <c r="D3" s="18" t="s">
        <v>30</v>
      </c>
      <c r="E3" s="21" t="s">
        <v>38</v>
      </c>
      <c r="F3" s="21" t="s">
        <v>39</v>
      </c>
      <c r="G3" s="18" t="s">
        <v>33</v>
      </c>
      <c r="H3" s="18" t="s">
        <v>34</v>
      </c>
      <c r="I3" s="18" t="s">
        <v>33</v>
      </c>
      <c r="J3" s="18" t="s">
        <v>33</v>
      </c>
      <c r="K3" s="18" t="s">
        <v>33</v>
      </c>
      <c r="L3" s="18" t="s">
        <v>36</v>
      </c>
      <c r="M3" s="18" t="s">
        <v>33</v>
      </c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18" t="s">
        <v>41</v>
      </c>
      <c r="B4" s="18" t="s">
        <v>42</v>
      </c>
      <c r="C4" s="18" t="s">
        <v>43</v>
      </c>
      <c r="D4" s="18" t="s">
        <v>30</v>
      </c>
      <c r="E4" s="21" t="s">
        <v>44</v>
      </c>
      <c r="F4" s="21" t="s">
        <v>45</v>
      </c>
      <c r="G4" s="18" t="s">
        <v>33</v>
      </c>
      <c r="H4" s="18" t="s">
        <v>33</v>
      </c>
      <c r="I4" s="18" t="s">
        <v>33</v>
      </c>
      <c r="J4" s="18" t="s">
        <v>33</v>
      </c>
      <c r="K4" s="18" t="s">
        <v>33</v>
      </c>
      <c r="L4" s="18" t="s">
        <v>46</v>
      </c>
      <c r="M4" s="18" t="s">
        <v>33</v>
      </c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18" t="s">
        <v>48</v>
      </c>
      <c r="B5" s="18" t="s">
        <v>49</v>
      </c>
      <c r="C5" s="18" t="s">
        <v>43</v>
      </c>
      <c r="D5" s="18" t="s">
        <v>30</v>
      </c>
      <c r="E5" s="21" t="s">
        <v>50</v>
      </c>
      <c r="F5" s="21" t="s">
        <v>51</v>
      </c>
      <c r="G5" s="18" t="s">
        <v>52</v>
      </c>
      <c r="H5" s="18" t="s">
        <v>34</v>
      </c>
      <c r="I5" s="18" t="s">
        <v>34</v>
      </c>
      <c r="J5" s="18" t="s">
        <v>53</v>
      </c>
      <c r="K5" s="18" t="s">
        <v>34</v>
      </c>
      <c r="L5" s="18" t="s">
        <v>36</v>
      </c>
      <c r="M5" s="18" t="s">
        <v>55</v>
      </c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18" t="s">
        <v>56</v>
      </c>
      <c r="B6" s="18" t="s">
        <v>57</v>
      </c>
      <c r="C6" s="18" t="s">
        <v>43</v>
      </c>
      <c r="D6" s="18" t="s">
        <v>30</v>
      </c>
      <c r="E6" s="21" t="s">
        <v>58</v>
      </c>
      <c r="F6" s="21" t="s">
        <v>59</v>
      </c>
      <c r="G6" s="18" t="s">
        <v>55</v>
      </c>
      <c r="H6" s="18" t="s">
        <v>34</v>
      </c>
      <c r="I6" s="18" t="s">
        <v>34</v>
      </c>
      <c r="J6" s="18" t="s">
        <v>55</v>
      </c>
      <c r="K6" s="18" t="s">
        <v>55</v>
      </c>
      <c r="L6" s="18" t="s">
        <v>46</v>
      </c>
      <c r="M6" s="18" t="s">
        <v>55</v>
      </c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8" t="s">
        <v>41</v>
      </c>
      <c r="B7" s="18" t="s">
        <v>60</v>
      </c>
      <c r="C7" s="18" t="s">
        <v>43</v>
      </c>
      <c r="D7" s="18" t="s">
        <v>30</v>
      </c>
      <c r="E7" s="28" t="s">
        <v>61</v>
      </c>
      <c r="F7" s="28" t="s">
        <v>62</v>
      </c>
      <c r="G7" s="18" t="s">
        <v>33</v>
      </c>
      <c r="H7" s="18" t="s">
        <v>33</v>
      </c>
      <c r="I7" s="18" t="s">
        <v>33</v>
      </c>
      <c r="J7" s="18" t="s">
        <v>33</v>
      </c>
      <c r="K7" s="18" t="s">
        <v>33</v>
      </c>
      <c r="L7" s="18" t="s">
        <v>63</v>
      </c>
      <c r="M7" s="18" t="s">
        <v>33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8" t="s">
        <v>41</v>
      </c>
      <c r="B8" s="18" t="s">
        <v>64</v>
      </c>
      <c r="C8" s="18" t="s">
        <v>43</v>
      </c>
      <c r="D8" s="18" t="s">
        <v>30</v>
      </c>
      <c r="E8" s="28" t="s">
        <v>32</v>
      </c>
      <c r="F8" s="28" t="s">
        <v>62</v>
      </c>
      <c r="G8" s="18" t="s">
        <v>33</v>
      </c>
      <c r="H8" s="18" t="s">
        <v>33</v>
      </c>
      <c r="I8" s="18" t="s">
        <v>33</v>
      </c>
      <c r="J8" s="18" t="s">
        <v>33</v>
      </c>
      <c r="K8" s="18" t="s">
        <v>33</v>
      </c>
      <c r="L8" s="18" t="s">
        <v>46</v>
      </c>
      <c r="M8" s="18" t="s">
        <v>34</v>
      </c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8" t="s">
        <v>65</v>
      </c>
      <c r="B9" s="18" t="s">
        <v>66</v>
      </c>
      <c r="C9" s="18" t="s">
        <v>43</v>
      </c>
      <c r="D9" s="18" t="s">
        <v>30</v>
      </c>
      <c r="E9" s="28" t="s">
        <v>39</v>
      </c>
      <c r="F9" s="28" t="s">
        <v>67</v>
      </c>
      <c r="G9" s="18" t="s">
        <v>34</v>
      </c>
      <c r="H9" s="18" t="s">
        <v>33</v>
      </c>
      <c r="I9" s="18" t="s">
        <v>33</v>
      </c>
      <c r="J9" s="18" t="s">
        <v>34</v>
      </c>
      <c r="K9" s="18" t="s">
        <v>34</v>
      </c>
      <c r="L9" s="18" t="s">
        <v>46</v>
      </c>
      <c r="M9" s="18" t="s">
        <v>34</v>
      </c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8" t="s">
        <v>73</v>
      </c>
      <c r="B10" s="18" t="s">
        <v>74</v>
      </c>
      <c r="C10" s="18" t="s">
        <v>43</v>
      </c>
      <c r="D10" s="18" t="s">
        <v>30</v>
      </c>
      <c r="E10" s="28" t="s">
        <v>45</v>
      </c>
      <c r="F10" s="28" t="s">
        <v>75</v>
      </c>
      <c r="G10" s="18" t="s">
        <v>53</v>
      </c>
      <c r="H10" s="18" t="s">
        <v>34</v>
      </c>
      <c r="I10" s="18" t="s">
        <v>55</v>
      </c>
      <c r="J10" s="18" t="s">
        <v>53</v>
      </c>
      <c r="K10" s="18" t="s">
        <v>55</v>
      </c>
      <c r="L10" s="18" t="s">
        <v>46</v>
      </c>
      <c r="M10" s="18" t="s">
        <v>53</v>
      </c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46.13"/>
    <col customWidth="1" min="5" max="5" width="33.25"/>
    <col customWidth="1" min="6" max="6" width="16.5"/>
  </cols>
  <sheetData>
    <row r="1">
      <c r="A1" s="5" t="s">
        <v>0</v>
      </c>
      <c r="B1" s="8"/>
      <c r="C1" s="10"/>
      <c r="D1" s="12"/>
      <c r="E1" s="5" t="s">
        <v>23</v>
      </c>
      <c r="F1" s="8"/>
      <c r="G1" s="10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23"/>
      <c r="B2" s="12"/>
      <c r="C2" s="34"/>
      <c r="D2" s="12"/>
      <c r="E2" s="23"/>
      <c r="F2" s="12"/>
      <c r="G2" s="34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" t="s">
        <v>81</v>
      </c>
      <c r="B3" s="17"/>
      <c r="C3" s="34"/>
      <c r="D3" s="12"/>
      <c r="E3" s="1" t="s">
        <v>81</v>
      </c>
      <c r="F3" s="17"/>
      <c r="G3" s="34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4" t="s">
        <v>82</v>
      </c>
      <c r="B4" s="14" t="s">
        <v>83</v>
      </c>
      <c r="C4" s="34"/>
      <c r="D4" s="12"/>
      <c r="E4" s="14" t="s">
        <v>84</v>
      </c>
      <c r="F4" s="14">
        <v>250.0</v>
      </c>
      <c r="G4" s="34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4" t="s">
        <v>85</v>
      </c>
      <c r="B5" s="14" t="s">
        <v>86</v>
      </c>
      <c r="C5" s="34"/>
      <c r="D5" s="12"/>
      <c r="E5" s="14"/>
      <c r="F5" s="14"/>
      <c r="G5" s="34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4" t="s">
        <v>87</v>
      </c>
      <c r="B6" s="14" t="s">
        <v>88</v>
      </c>
      <c r="C6" s="34"/>
      <c r="D6" s="12"/>
      <c r="E6" s="1" t="s">
        <v>89</v>
      </c>
      <c r="F6" s="17"/>
      <c r="G6" s="34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4" t="s">
        <v>84</v>
      </c>
      <c r="B7" s="14" t="s">
        <v>90</v>
      </c>
      <c r="C7" s="34"/>
      <c r="D7" s="12"/>
      <c r="E7" s="14" t="s">
        <v>84</v>
      </c>
      <c r="F7" s="14">
        <v>150.0</v>
      </c>
      <c r="G7" s="34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23"/>
      <c r="B8" s="12"/>
      <c r="C8" s="34"/>
      <c r="D8" s="12"/>
      <c r="E8" s="23"/>
      <c r="F8" s="12"/>
      <c r="G8" s="34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" t="s">
        <v>89</v>
      </c>
      <c r="B9" s="17"/>
      <c r="C9" s="34"/>
      <c r="D9" s="12"/>
      <c r="E9" s="1" t="s">
        <v>91</v>
      </c>
      <c r="F9" s="17"/>
      <c r="G9" s="34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4" t="s">
        <v>92</v>
      </c>
      <c r="B10" s="14" t="s">
        <v>93</v>
      </c>
      <c r="C10" s="34"/>
      <c r="D10" s="12"/>
      <c r="E10" s="14" t="s">
        <v>81</v>
      </c>
      <c r="F10" s="14">
        <v>250.0</v>
      </c>
      <c r="G10" s="34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23"/>
      <c r="B11" s="12"/>
      <c r="C11" s="34"/>
      <c r="D11" s="12"/>
      <c r="E11" s="14" t="s">
        <v>89</v>
      </c>
      <c r="F11" s="14">
        <v>150.0</v>
      </c>
      <c r="G11" s="34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" t="s">
        <v>91</v>
      </c>
      <c r="B12" s="17"/>
      <c r="C12" s="34"/>
      <c r="D12" s="12"/>
      <c r="E12" s="14" t="s">
        <v>84</v>
      </c>
      <c r="F12" s="14">
        <v>400.0</v>
      </c>
      <c r="G12" s="34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4" t="s">
        <v>81</v>
      </c>
      <c r="B13" s="14">
        <v>2200.0</v>
      </c>
      <c r="C13" s="34"/>
      <c r="D13" s="12"/>
      <c r="E13" s="35"/>
      <c r="F13" s="36"/>
      <c r="G13" s="34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4" t="s">
        <v>89</v>
      </c>
      <c r="B14" s="14">
        <v>250.0</v>
      </c>
      <c r="C14" s="34"/>
      <c r="D14" s="12"/>
      <c r="E14" s="35"/>
      <c r="F14" s="36"/>
      <c r="G14" s="34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4" t="s">
        <v>84</v>
      </c>
      <c r="B15" s="14">
        <v>2450.0</v>
      </c>
      <c r="C15" s="34"/>
      <c r="D15" s="12"/>
      <c r="E15" s="35"/>
      <c r="F15" s="36"/>
      <c r="G15" s="34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37"/>
      <c r="B16" s="38"/>
      <c r="C16" s="39"/>
      <c r="D16" s="12"/>
      <c r="E16" s="37"/>
      <c r="F16" s="38"/>
      <c r="G16" s="39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36" t="s">
        <v>94</v>
      </c>
      <c r="B18" s="36" t="s">
        <v>95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mergeCells count="2">
    <mergeCell ref="A1:B1"/>
    <mergeCell ref="E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27.38"/>
    <col customWidth="1" min="3" max="3" width="15.63"/>
    <col customWidth="1" min="4" max="4" width="22.75"/>
    <col customWidth="1" min="5" max="5" width="24.0"/>
    <col customWidth="1" min="6" max="6" width="22.25"/>
    <col customWidth="1" min="7" max="7" width="21.75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8</v>
      </c>
      <c r="G1" s="1" t="s">
        <v>9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4">
        <v>1.0</v>
      </c>
      <c r="B2" s="14" t="s">
        <v>24</v>
      </c>
      <c r="C2" s="14" t="s">
        <v>26</v>
      </c>
      <c r="D2" s="17">
        <v>1519.0</v>
      </c>
      <c r="E2" s="17">
        <v>505.0</v>
      </c>
      <c r="F2" s="17">
        <f t="shared" ref="F2:F7" si="1">D2+E2</f>
        <v>2024</v>
      </c>
      <c r="G2" s="14" t="s">
        <v>37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4">
        <v>2.0</v>
      </c>
      <c r="B3" s="14" t="s">
        <v>24</v>
      </c>
      <c r="C3" s="14" t="s">
        <v>40</v>
      </c>
      <c r="D3" s="24">
        <v>971.0</v>
      </c>
      <c r="E3" s="25">
        <v>324.0</v>
      </c>
      <c r="F3" s="26">
        <f t="shared" si="1"/>
        <v>1295</v>
      </c>
      <c r="G3" s="14" t="s">
        <v>47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4">
        <v>3.0</v>
      </c>
      <c r="B4" s="14" t="s">
        <v>24</v>
      </c>
      <c r="C4" s="14" t="s">
        <v>54</v>
      </c>
      <c r="D4" s="27">
        <v>1503.0</v>
      </c>
      <c r="E4" s="14">
        <v>806.0</v>
      </c>
      <c r="F4" s="26">
        <f t="shared" si="1"/>
        <v>2309</v>
      </c>
      <c r="G4" s="14" t="s">
        <v>68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4">
        <v>4.0</v>
      </c>
      <c r="B5" s="14" t="s">
        <v>69</v>
      </c>
      <c r="C5" s="14" t="s">
        <v>26</v>
      </c>
      <c r="D5" s="17">
        <v>1658.0</v>
      </c>
      <c r="E5" s="17">
        <v>398.0</v>
      </c>
      <c r="F5" s="17">
        <f t="shared" si="1"/>
        <v>2056</v>
      </c>
      <c r="G5" s="17" t="s">
        <v>70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4">
        <v>5.0</v>
      </c>
      <c r="B6" s="14" t="s">
        <v>69</v>
      </c>
      <c r="C6" s="14" t="s">
        <v>40</v>
      </c>
      <c r="D6" s="29">
        <v>819.0</v>
      </c>
      <c r="E6" s="25">
        <v>202.0</v>
      </c>
      <c r="F6" s="17">
        <f t="shared" si="1"/>
        <v>1021</v>
      </c>
      <c r="G6" s="14" t="s">
        <v>71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4">
        <v>6.0</v>
      </c>
      <c r="B7" s="14" t="s">
        <v>69</v>
      </c>
      <c r="C7" s="14" t="s">
        <v>54</v>
      </c>
      <c r="D7" s="24">
        <v>2068.0</v>
      </c>
      <c r="E7" s="29">
        <v>641.0</v>
      </c>
      <c r="F7" s="26">
        <f t="shared" si="1"/>
        <v>2709</v>
      </c>
      <c r="G7" s="14" t="s">
        <v>72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</sheetData>
  <drawing r:id="rId1"/>
</worksheet>
</file>