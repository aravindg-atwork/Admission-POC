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AI Assissant POC\docs\"/>
    </mc:Choice>
  </mc:AlternateContent>
  <bookViews>
    <workbookView xWindow="0" yWindow="0" windowWidth="24000" windowHeight="9615" activeTab="2"/>
  </bookViews>
  <sheets>
    <sheet name="Overview" sheetId="1" r:id="rId1"/>
    <sheet name="Browser Extension" sheetId="2" r:id="rId2"/>
    <sheet name="Admission Bot" sheetId="3" r:id="rId3"/>
  </sheets>
  <calcPr calcId="152511"/>
</workbook>
</file>

<file path=xl/calcChain.xml><?xml version="1.0" encoding="utf-8"?>
<calcChain xmlns="http://schemas.openxmlformats.org/spreadsheetml/2006/main">
  <c r="C37" i="3" l="1"/>
  <c r="D37" i="3" s="1"/>
  <c r="E37" i="3" s="1"/>
  <c r="E39" i="3" s="1"/>
  <c r="B33" i="3"/>
  <c r="C33" i="3" s="1"/>
  <c r="C32" i="3"/>
  <c r="B32" i="3"/>
  <c r="B31" i="3"/>
  <c r="C31" i="3" s="1"/>
  <c r="B30" i="3"/>
  <c r="C30" i="3" s="1"/>
  <c r="E25" i="3"/>
  <c r="C24" i="3"/>
  <c r="D24" i="3" s="1"/>
  <c r="E24" i="3" s="1"/>
  <c r="C20" i="2"/>
  <c r="C19" i="2"/>
  <c r="E15" i="2"/>
  <c r="G15" i="2" s="1"/>
  <c r="G14" i="2"/>
  <c r="E14" i="2"/>
  <c r="F14" i="2" s="1"/>
  <c r="G13" i="2"/>
  <c r="F13" i="2"/>
  <c r="E13" i="2"/>
  <c r="E12" i="2"/>
  <c r="F23" i="2" s="1"/>
  <c r="B12" i="1"/>
  <c r="D30" i="3" l="1"/>
  <c r="D31" i="3"/>
  <c r="D32" i="3"/>
  <c r="D33" i="3"/>
  <c r="E26" i="3"/>
  <c r="G23" i="2"/>
  <c r="B11" i="1" s="1"/>
  <c r="C11" i="1"/>
  <c r="C14" i="1"/>
  <c r="B14" i="1"/>
  <c r="F12" i="2"/>
  <c r="G12" i="2"/>
  <c r="F15" i="2"/>
  <c r="B15" i="1" l="1"/>
  <c r="B13" i="1"/>
  <c r="C13" i="1"/>
</calcChain>
</file>

<file path=xl/sharedStrings.xml><?xml version="1.0" encoding="utf-8"?>
<sst xmlns="http://schemas.openxmlformats.org/spreadsheetml/2006/main" count="128" uniqueCount="115">
  <si>
    <t>AI Systems — Production Cost Overview</t>
  </si>
  <si>
    <t>OrderAssist browser extension + AI Admission Assistant. All costs in INR (source FX rate on each tab). Prepared for director review, 2026-07-30.</t>
  </si>
  <si>
    <t>What's in this workbook</t>
  </si>
  <si>
    <t>Tab</t>
  </si>
  <si>
    <t>What it covers</t>
  </si>
  <si>
    <t>Browser Extension</t>
  </si>
  <si>
    <t>The OrderAssist catalogue-matching extension only: current model (fully self-hosted, ₹0 API), and its own server/infra cost across 4 hosting providers.</t>
  </si>
  <si>
    <t>Admission Bot</t>
  </si>
  <si>
    <t>The AI Admission Assistant: current model + cost today, then production cost at a 6,000-student floor — split into the current Sarvam API-based method vs. a full self-hosted alternative, with a side-by-side comparison and the recommended route.</t>
  </si>
  <si>
    <t>Bottom line</t>
  </si>
  <si>
    <t>Metric</t>
  </si>
  <si>
    <t>INR</t>
  </si>
  <si>
    <t>USD (reference)</t>
  </si>
  <si>
    <t>Browser extension, first year (cheapest host — Hetzner)</t>
  </si>
  <si>
    <t>Admission bot, current (pilot on a laptop — not yet in production)</t>
  </si>
  <si>
    <t>—</t>
  </si>
  <si>
    <t>Admission bot, production Method 1 — Sarvam API-based (recommended)</t>
  </si>
  <si>
    <t>Admission bot, production Method 2 — full self-hosted (Qwen3-14B, replaces Sarvam)</t>
  </si>
  <si>
    <t>Combined total, first year (extension + admission bot, Method 1)</t>
  </si>
  <si>
    <t>Calculated</t>
  </si>
  <si>
    <t>Recommended route: Method 1 (Sarvam API-based, current architecture) — cheaper AND higher answer quality than self-hosting a bigger local model. See Admission Bot tab for the full comparison and reasoning.</t>
  </si>
  <si>
    <t>Browser Extension — Model &amp; Infra Cost</t>
  </si>
  <si>
    <t>OrderAssist catalogue-matching flow only (Send-click → match → note). Excludes the admission bot entirely.</t>
  </si>
  <si>
    <t>Current model</t>
  </si>
  <si>
    <t>Fully self-hosted: nomic-embed-text (catalogue matching) + Ollama gemma2:2b (complementary suggestion + note generation). External API cost: ₹0 — backend/catalogue.py forces allow_cloud=False for this flow, so it never calls Sarvam.</t>
  </si>
  <si>
    <t>FX rate used on this tab</t>
  </si>
  <si>
    <t>USD → INR</t>
  </si>
  <si>
    <t>Source: Xe / exchangerates.org.uk, spot rate 2026-07-28 (closest confirmed date to today)</t>
  </si>
  <si>
    <t>Server / infra cost (recurring)</t>
  </si>
  <si>
    <t>Provider</t>
  </si>
  <si>
    <t>Spec</t>
  </si>
  <si>
    <t>Compute $/mo</t>
  </si>
  <si>
    <t>Storage $/mo</t>
  </si>
  <si>
    <t>Total $/mo</t>
  </si>
  <si>
    <t>Total ₹/mo</t>
  </si>
  <si>
    <t>Total ₹/year</t>
  </si>
  <si>
    <t>Hetzner Cloud — CPX32</t>
  </si>
  <si>
    <t>4 vCPU / 8 GB, 160 GB NVMe (bundled)</t>
  </si>
  <si>
    <t>DigitalOcean — General Purpose 8GB</t>
  </si>
  <si>
    <t>2 vCPU / 8 GB, storage bundled</t>
  </si>
  <si>
    <t>AWS EC2 t3.large + EBS gp3</t>
  </si>
  <si>
    <t>2 vCPU / 8 GB + 40 GB gp3</t>
  </si>
  <si>
    <t>GCP e2-standard-2 + Persistent Disk</t>
  </si>
  <si>
    <t>2 vCPU / 8 GB + 40 GB pd-balanced</t>
  </si>
  <si>
    <t>One-time setup costs</t>
  </si>
  <si>
    <t>Item</t>
  </si>
  <si>
    <t>Cost $</t>
  </si>
  <si>
    <t>Cost ₹</t>
  </si>
  <si>
    <t>Chrome Web Store developer registration (one-time, ever)</t>
  </si>
  <si>
    <t>Domain name (optional, renews annually)</t>
  </si>
  <si>
    <t>Total first year (cheapest host — Hetzner)</t>
  </si>
  <si>
    <t>Total, first year</t>
  </si>
  <si>
    <t>Admission Bot — Model, Current Cost &amp; Production Cost</t>
  </si>
  <si>
    <t>Current model + cost, then production cost at a 6,000-student floor (max not yet defined — see note below), split into the current API-based method vs. a full self-hosted alternative.</t>
  </si>
  <si>
    <t>Current model (today, pilot)</t>
  </si>
  <si>
    <t>Chat: Sarvam sarvam-30b (cloud, primary) — NOTE: Sarvam’s own current pricing page no longer lists 30B, only 105B; confirm with developer@sarvam.ai before finalizing a production budget. Fallback: gemma2:2b (local Ollama, used when SARVAM_DAILY_LIMIT is hit or Sarvam errors). Embeddings: nomic-embed-text (local). Voice: AI4Bharat indic-parler-tts (local). Cap: SARVAM_DAILY_LIMIT = 150 calls/day — a POC safety limit, not a production capacity plan.</t>
  </si>
  <si>
    <t>Source: Xe / exchangerates.org.uk, spot rate 2026-07-28</t>
  </si>
  <si>
    <t>Current cost, per year (runs on a dev laptop today — not yet in production; ₹0 infra, API bounded by the 150/day cap)</t>
  </si>
  <si>
    <t>Production scale — inputs</t>
  </si>
  <si>
    <t>Students (minimum — floor for this estimate)</t>
  </si>
  <si>
    <t>Max questions/student (worst-case ceiling)</t>
  </si>
  <si>
    <t>% of questions in Hindi/Marathi (worst-case share)</t>
  </si>
  <si>
    <t>FAQ-cache hit rate assumed (worst case = 0%)</t>
  </si>
  <si>
    <t>Tokens/call — English input / output (estimated)</t>
  </si>
  <si>
    <t>Tokens/call — Hindi/Marathi input / output (Devanagari tokenizer inflation, estimated)</t>
  </si>
  <si>
    <t>Sarvam-105B input / output price (₹/1M tok) — confirmed live 2026-07-30</t>
  </si>
  <si>
    <t>Max enrollment is not yet defined; 6,000 is used as the floor. Sarvam API cost scales almost perfectly linearly with volume and stays small even at 10x this floor (~₹8,700/year at 60,000 students) — total cost is not sensitive to exactly where "max" lands until enrollment moves into the tens of thousands. Hosting cost (below) is flat regardless of student count, up to the box’s capacity ceiling.</t>
  </si>
  <si>
    <t>Method 1 — Current method, at production scale (Sarvam API-based)</t>
  </si>
  <si>
    <t>Line item</t>
  </si>
  <si>
    <t>$/hr or unit</t>
  </si>
  <si>
    <t>$/mo</t>
  </si>
  <si>
    <t>₹/mo</t>
  </si>
  <si>
    <t>₹/year</t>
  </si>
  <si>
    <t>Infra — g4dn.xlarge (NVIDIA T4 16GB): runs local fallback (gemma2:2b), embedding service, AI4Bharat TTS</t>
  </si>
  <si>
    <t>Sarvam API cost, worst case (from the inputs above, at Max questions/student)</t>
  </si>
  <si>
    <t>Total, Method 1 (₹/year)</t>
  </si>
  <si>
    <t>Method 1 sensitivity — questions/student</t>
  </si>
  <si>
    <t>Questions/student</t>
  </si>
  <si>
    <t>Total calls</t>
  </si>
  <si>
    <t>API cost ₹/year</t>
  </si>
  <si>
    <t>Total (infra + API) ₹/year</t>
  </si>
  <si>
    <t>Method 2 — Full self-hosted (Qwen3-14B as primary, replaces Sarvam entirely)</t>
  </si>
  <si>
    <t>Infra — g6.xlarge (NVIDIA L4 24GB): Qwen3-14B as primary chat model, embedding service, AI4Bharat TTS, all on one box</t>
  </si>
  <si>
    <t>API cost — none (fully self-hosted, no cloud LLM calls)</t>
  </si>
  <si>
    <t>Total, Method 2 (₹/year)</t>
  </si>
  <si>
    <t>Note: self-hosting Sarvam-105B itself (the model Method 1 actually calls) would need multi-GPU / A100-class hardware — a different, much larger cost bracket, not budgeted here. Qwen3-14B is the practical ceiling within a single-GPU budget, and it still ranks below Sarvam-105B on Indic-language benchmarks.</t>
  </si>
  <si>
    <t>API-based (Method 1) vs. self-hosted (Method 2)</t>
  </si>
  <si>
    <t>Dimension</t>
  </si>
  <si>
    <t>Method 1 — Sarvam API-based</t>
  </si>
  <si>
    <t>Method 2 — Full self-hosted</t>
  </si>
  <si>
    <t>Annual cost, 6,000-student floor</t>
  </si>
  <si>
    <t>Answer quality (Hindi/Marathi)</t>
  </si>
  <si>
    <t>Best-in-class — Sarvam-105B wins ~90% of pairwise Indic-language comparisons (third-party benchmark summary)</t>
  </si>
  <si>
    <t>Lower — Qwen3-14B ranks top-tier among generalist open models but below Sarvam-105B on Indic-specific benchmarks</t>
  </si>
  <si>
    <t>Data residency</t>
  </si>
  <si>
    <t>Student question data leaves institution infra (cloud call) — check against any data-residency requirement</t>
  </si>
  <si>
    <t>No data leaves premises — full control</t>
  </si>
  <si>
    <t>Vendor dependency</t>
  </si>
  <si>
    <t>Depends on Sarvam’s uptime, pricing, and rate limits (mitigated by local fallback)</t>
  </si>
  <si>
    <t>None — no external vendor in the loop</t>
  </si>
  <si>
    <t>Ops burden</t>
  </si>
  <si>
    <t>Low — Sarvam handles model serving; institution only runs the fallback stack</t>
  </si>
  <si>
    <t>Higher — institution owns model updates, monitoring, and scaling for the primary model</t>
  </si>
  <si>
    <t>Scalability beyond the 6,000-student floor</t>
  </si>
  <si>
    <t>Elastic — Sarvam scales with API volume; only the fallback box has a fixed ceiling</t>
  </si>
  <si>
    <t>Fixed to the box’s capacity — scaling further means a bigger/second GPU box</t>
  </si>
  <si>
    <t>Recommendation</t>
  </si>
  <si>
    <t>Recommended: Method 1 — Sarvam API-based (current architecture), continued into production.</t>
  </si>
  <si>
    <t>• It is cheaper AND higher quality — Method 2 costs more per year (see comparison above) while answering in Hindi/Marathi at a lower benchmark quality than Method 1's Sarvam-105B. Self-hosting a bigger model here is not a cost optimization.</t>
  </si>
  <si>
    <t>• The only real advantage of Method 2 is data sovereignty (no student data leaving premises) and no vendor dependency — a legitimate reason to revisit this if a hard data-residency or compliance requirement emerges, but not a cost or quality argument.</t>
  </si>
  <si>
    <t>• Before go-live: raise SARVAM_DAILY_LIMIT (currently 150/day, a POC cap) and move to Sarvam's Business rate-limit tier (1,000 req/min) so real traffic isn't throttled.</t>
  </si>
  <si>
    <t>• Revisit this comparison once Bhashini's enterprise review clears and it has a public production price — it is government-subsidized and could shrink Method 1's already-small API line further, without giving up Method 1's cost/quality advantage over full self-hosting.</t>
  </si>
  <si>
    <t>Admission Bot —  Current Cost &amp; Production Cost</t>
  </si>
  <si>
    <t>₹4,48,692</t>
  </si>
  <si>
    <t>₹6,81,819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</si>
</sst>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quot;#,##0;\(&quot;₹&quot;#,##0\);\-"/>
    <numFmt numFmtId="165" formatCode="&quot;$&quot;#,##0;\(&quot;$&quot;#,##0\);\-"/>
    <numFmt numFmtId="166" formatCode="&quot;$&quot;#,##0.00;\(&quot;$&quot;#,##0.00\);\-"/>
    <numFmt numFmtId="167" formatCode="0.0%"/>
    <numFmt numFmtId="168" formatCode="&quot;₹&quot;#,##0.00;\(&quot;₹&quot;#,##0.00\);\-"/>
    <numFmt numFmtId="169" formatCode="&quot;$&quot;0.0000"/>
  </numFmts>
  <fonts count="11" x14ac:knownFonts="1">
    <font>
      <sz val="11"/>
      <color theme="1"/>
      <name val="Calibri"/>
      <family val="2"/>
      <scheme val="minor"/>
    </font>
    <font>
      <b/>
      <sz val="16"/>
      <color rgb="FF1A1F27"/>
      <name val="Arial"/>
    </font>
    <font>
      <sz val="10.5"/>
      <color rgb="FF5B6572"/>
      <name val="Arial"/>
    </font>
    <font>
      <b/>
      <sz val="12"/>
      <color rgb="FF1A1F27"/>
      <name val="Arial"/>
    </font>
    <font>
      <b/>
      <sz val="11"/>
      <color rgb="FFFFFFFF"/>
      <name val="Arial"/>
    </font>
    <font>
      <b/>
      <sz val="10.5"/>
      <color rgb="FF000000"/>
      <name val="Arial"/>
    </font>
    <font>
      <sz val="10.5"/>
      <color rgb="FF000000"/>
      <name val="Arial"/>
    </font>
    <font>
      <sz val="10.5"/>
      <color rgb="FF008000"/>
      <name val="Arial"/>
    </font>
    <font>
      <i/>
      <sz val="9.5"/>
      <color rgb="FF5B6572"/>
      <name val="Arial"/>
    </font>
    <font>
      <b/>
      <sz val="10.5"/>
      <color rgb="FF008000"/>
      <name val="Arial"/>
    </font>
    <font>
      <sz val="10.5"/>
      <color rgb="FF0000FF"/>
      <name val="Arial"/>
    </font>
  </fonts>
  <fills count="4">
    <fill>
      <patternFill patternType="none"/>
    </fill>
    <fill>
      <patternFill patternType="gray125"/>
    </fill>
    <fill>
      <patternFill patternType="solid">
        <fgColor rgb="FF1A7F4E"/>
      </patternFill>
    </fill>
    <fill>
      <patternFill patternType="solid">
        <fgColor rgb="FFFFF9C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0" fontId="5" fillId="0" borderId="0" xfId="0" applyFont="1" applyAlignment="1">
      <alignment vertical="top" wrapText="1"/>
    </xf>
    <xf numFmtId="0" fontId="6" fillId="0" borderId="0" xfId="0" applyFont="1" applyAlignment="1">
      <alignment vertical="top" wrapText="1"/>
    </xf>
    <xf numFmtId="164" fontId="7" fillId="0" borderId="0" xfId="0" applyNumberFormat="1" applyFont="1" applyAlignment="1">
      <alignment vertical="top" wrapText="1"/>
    </xf>
    <xf numFmtId="165" fontId="7" fillId="0" borderId="0" xfId="0" applyNumberFormat="1" applyFont="1" applyAlignment="1">
      <alignment vertical="top" wrapText="1"/>
    </xf>
    <xf numFmtId="0" fontId="8" fillId="0" borderId="0" xfId="0" applyFont="1" applyAlignment="1">
      <alignment vertical="top" wrapText="1"/>
    </xf>
    <xf numFmtId="164" fontId="9" fillId="0" borderId="0" xfId="0" applyNumberFormat="1" applyFont="1" applyAlignment="1">
      <alignment vertical="top" wrapText="1"/>
    </xf>
    <xf numFmtId="2" fontId="10" fillId="3" borderId="0" xfId="0" applyNumberFormat="1" applyFont="1" applyFill="1" applyAlignment="1">
      <alignment vertical="top" wrapText="1"/>
    </xf>
    <xf numFmtId="166" fontId="10" fillId="3" borderId="0" xfId="0" applyNumberFormat="1" applyFont="1" applyFill="1" applyAlignment="1">
      <alignment vertical="top" wrapText="1"/>
    </xf>
    <xf numFmtId="166" fontId="6" fillId="0" borderId="0" xfId="0" applyNumberFormat="1" applyFont="1" applyAlignment="1">
      <alignment vertical="top" wrapText="1"/>
    </xf>
    <xf numFmtId="164" fontId="6" fillId="0" borderId="0" xfId="0" applyNumberFormat="1" applyFont="1" applyAlignment="1">
      <alignment vertical="top" wrapText="1"/>
    </xf>
    <xf numFmtId="165" fontId="10" fillId="3" borderId="0" xfId="0" applyNumberFormat="1" applyFont="1" applyFill="1" applyAlignment="1">
      <alignment vertical="top" wrapText="1"/>
    </xf>
    <xf numFmtId="165" fontId="5" fillId="0" borderId="0" xfId="0" applyNumberFormat="1" applyFont="1" applyAlignment="1">
      <alignment vertical="top" wrapText="1"/>
    </xf>
    <xf numFmtId="164" fontId="5" fillId="0" borderId="0" xfId="0" applyNumberFormat="1" applyFont="1" applyAlignment="1">
      <alignment vertical="top" wrapText="1"/>
    </xf>
    <xf numFmtId="3" fontId="10" fillId="3" borderId="0" xfId="0" applyNumberFormat="1" applyFont="1" applyFill="1" applyAlignment="1">
      <alignment vertical="top" wrapText="1"/>
    </xf>
    <xf numFmtId="167" fontId="10" fillId="3" borderId="0" xfId="0" applyNumberFormat="1" applyFont="1" applyFill="1" applyAlignment="1">
      <alignment vertical="top" wrapText="1"/>
    </xf>
    <xf numFmtId="168" fontId="10" fillId="3" borderId="0" xfId="0" applyNumberFormat="1" applyFont="1" applyFill="1" applyAlignment="1">
      <alignment vertical="top" wrapText="1"/>
    </xf>
    <xf numFmtId="169" fontId="10" fillId="3" borderId="0" xfId="0" applyNumberFormat="1" applyFont="1" applyFill="1" applyAlignment="1">
      <alignment vertical="top" wrapText="1"/>
    </xf>
    <xf numFmtId="168" fontId="6" fillId="0" borderId="0" xfId="0" applyNumberFormat="1" applyFont="1" applyAlignment="1">
      <alignment vertical="top" wrapText="1"/>
    </xf>
    <xf numFmtId="3" fontId="6" fillId="0" borderId="0" xfId="0" applyNumberFormat="1" applyFont="1" applyAlignment="1">
      <alignment vertical="top" wrapText="1"/>
    </xf>
    <xf numFmtId="0" fontId="5" fillId="0" borderId="0" xfId="0" applyFont="1" applyAlignment="1">
      <alignment vertical="top" wrapText="1"/>
    </xf>
    <xf numFmtId="0" fontId="0" fillId="0" borderId="0" xfId="0"/>
    <xf numFmtId="0" fontId="6" fillId="0" borderId="0" xfId="0" applyFont="1" applyAlignment="1">
      <alignment vertical="top" wrapText="1"/>
    </xf>
    <xf numFmtId="0" fontId="8" fillId="0" borderId="0" xfId="0" applyFont="1" applyAlignment="1">
      <alignment vertical="top" wrapText="1"/>
    </xf>
  </cellXfs>
  <cellStyles count="1">
    <cellStyle name="Normal" xfId="0" builtinId="0"/>
  </cellStyles>
  <dxfs count="4">
    <dxf>
      <font>
        <b val="0"/>
        <i val="0"/>
        <strike val="0"/>
        <condense val="0"/>
        <extend val="0"/>
        <outline val="0"/>
        <shadow val="0"/>
        <u val="none"/>
        <vertAlign val="baseline"/>
        <sz val="10.5"/>
        <color rgb="FF000000"/>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5"/>
        <color rgb="FF000000"/>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5"/>
        <color rgb="FF000000"/>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5"/>
        <color rgb="FF000000"/>
        <name val="Arial"/>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44:C49" totalsRowShown="0" dataDxfId="0">
  <autoFilter ref="A44:C49"/>
  <tableColumns count="3">
    <tableColumn id="1" name="Annual cost, 6,000-student floor" dataDxfId="3"/>
    <tableColumn id="2" name="₹4,48,692" dataDxfId="2"/>
    <tableColumn id="3" name="₹6,81,819" dataDxfId="1"/>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showGridLines="0" topLeftCell="A7" workbookViewId="0"/>
  </sheetViews>
  <sheetFormatPr defaultRowHeight="15" x14ac:dyDescent="0.25"/>
  <cols>
    <col min="1" max="1" width="58" customWidth="1"/>
    <col min="2" max="3" width="18" customWidth="1"/>
    <col min="4" max="4" width="16" customWidth="1"/>
  </cols>
  <sheetData>
    <row r="1" spans="1:4" ht="20.25" x14ac:dyDescent="0.3">
      <c r="A1" s="1" t="s">
        <v>0</v>
      </c>
    </row>
    <row r="2" spans="1:4" ht="40.5" x14ac:dyDescent="0.25">
      <c r="A2" s="2" t="s">
        <v>1</v>
      </c>
    </row>
    <row r="4" spans="1:4" ht="15.75" x14ac:dyDescent="0.25">
      <c r="A4" s="3" t="s">
        <v>2</v>
      </c>
    </row>
    <row r="5" spans="1:4" ht="20.100000000000001" customHeight="1" x14ac:dyDescent="0.25">
      <c r="A5" s="4" t="s">
        <v>3</v>
      </c>
      <c r="B5" s="4" t="s">
        <v>4</v>
      </c>
    </row>
    <row r="6" spans="1:4" ht="32.1" customHeight="1" x14ac:dyDescent="0.25">
      <c r="A6" s="5" t="s">
        <v>5</v>
      </c>
      <c r="B6" s="6" t="s">
        <v>6</v>
      </c>
    </row>
    <row r="7" spans="1:4" ht="39.950000000000003" customHeight="1" x14ac:dyDescent="0.25">
      <c r="A7" s="5" t="s">
        <v>7</v>
      </c>
      <c r="B7" s="6" t="s">
        <v>8</v>
      </c>
    </row>
    <row r="9" spans="1:4" ht="15.75" x14ac:dyDescent="0.25">
      <c r="A9" s="3" t="s">
        <v>9</v>
      </c>
    </row>
    <row r="10" spans="1:4" ht="20.100000000000001" customHeight="1" x14ac:dyDescent="0.25">
      <c r="A10" s="4" t="s">
        <v>10</v>
      </c>
      <c r="B10" s="4" t="s">
        <v>11</v>
      </c>
      <c r="C10" s="4" t="s">
        <v>12</v>
      </c>
      <c r="D10" s="4" t="s">
        <v>3</v>
      </c>
    </row>
    <row r="11" spans="1:4" ht="26.1" customHeight="1" x14ac:dyDescent="0.25">
      <c r="A11" s="6" t="s">
        <v>13</v>
      </c>
      <c r="B11" s="7">
        <f>'Browser Extension'!G23</f>
        <v>46683.509599999998</v>
      </c>
      <c r="C11" s="8">
        <f>'Browser Extension'!F23</f>
        <v>487.76</v>
      </c>
      <c r="D11" s="9" t="s">
        <v>5</v>
      </c>
    </row>
    <row r="12" spans="1:4" ht="26.1" customHeight="1" x14ac:dyDescent="0.25">
      <c r="A12" s="6" t="s">
        <v>14</v>
      </c>
      <c r="B12" s="7">
        <f>'Admission Bot'!B9</f>
        <v>0</v>
      </c>
      <c r="C12" s="6" t="s">
        <v>15</v>
      </c>
      <c r="D12" s="9" t="s">
        <v>7</v>
      </c>
    </row>
    <row r="13" spans="1:4" ht="26.1" customHeight="1" x14ac:dyDescent="0.25">
      <c r="A13" s="6" t="s">
        <v>16</v>
      </c>
      <c r="B13" s="7">
        <f>'Admission Bot'!E26</f>
        <v>448691.82960000006</v>
      </c>
      <c r="C13" s="8">
        <f>'Admission Bot'!E26/'Admission Bot'!B8</f>
        <v>4688.0349973879438</v>
      </c>
      <c r="D13" s="9" t="s">
        <v>7</v>
      </c>
    </row>
    <row r="14" spans="1:4" ht="26.1" customHeight="1" x14ac:dyDescent="0.25">
      <c r="A14" s="6" t="s">
        <v>17</v>
      </c>
      <c r="B14" s="7">
        <f>'Admission Bot'!E39</f>
        <v>681818.89800000004</v>
      </c>
      <c r="C14" s="8">
        <f>'Admission Bot'!E39/'Admission Bot'!B8</f>
        <v>7123.8000000000011</v>
      </c>
      <c r="D14" s="9" t="s">
        <v>7</v>
      </c>
    </row>
    <row r="15" spans="1:4" ht="26.1" customHeight="1" x14ac:dyDescent="0.25">
      <c r="A15" s="5" t="s">
        <v>18</v>
      </c>
      <c r="B15" s="10">
        <f>B11+B13</f>
        <v>495375.33920000005</v>
      </c>
      <c r="D15" s="9" t="s">
        <v>19</v>
      </c>
    </row>
    <row r="17" spans="1:4" ht="33.950000000000003" customHeight="1" x14ac:dyDescent="0.25">
      <c r="A17" s="24" t="s">
        <v>20</v>
      </c>
      <c r="B17" s="25"/>
      <c r="C17" s="25"/>
      <c r="D17" s="25"/>
    </row>
  </sheetData>
  <mergeCells count="1">
    <mergeCell ref="A17:D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showGridLines="0" topLeftCell="A10" workbookViewId="0"/>
  </sheetViews>
  <sheetFormatPr defaultRowHeight="15" x14ac:dyDescent="0.25"/>
  <cols>
    <col min="1" max="1" width="30" customWidth="1"/>
    <col min="2" max="2" width="34" customWidth="1"/>
    <col min="3" max="5" width="13" customWidth="1"/>
    <col min="6" max="6" width="14" customWidth="1"/>
    <col min="7" max="7" width="15" customWidth="1"/>
  </cols>
  <sheetData>
    <row r="1" spans="1:7" ht="20.25" x14ac:dyDescent="0.3">
      <c r="A1" s="1" t="s">
        <v>21</v>
      </c>
    </row>
    <row r="2" spans="1:7" ht="54" x14ac:dyDescent="0.25">
      <c r="A2" s="2" t="s">
        <v>22</v>
      </c>
    </row>
    <row r="4" spans="1:7" ht="15.75" x14ac:dyDescent="0.25">
      <c r="A4" s="3" t="s">
        <v>23</v>
      </c>
    </row>
    <row r="5" spans="1:7" ht="36" customHeight="1" x14ac:dyDescent="0.25">
      <c r="A5" s="26" t="s">
        <v>24</v>
      </c>
      <c r="B5" s="25"/>
      <c r="C5" s="25"/>
      <c r="D5" s="25"/>
      <c r="E5" s="25"/>
      <c r="F5" s="25"/>
      <c r="G5" s="25"/>
    </row>
    <row r="7" spans="1:7" ht="15.75" x14ac:dyDescent="0.25">
      <c r="A7" s="3" t="s">
        <v>25</v>
      </c>
    </row>
    <row r="8" spans="1:7" ht="89.25" x14ac:dyDescent="0.25">
      <c r="A8" s="6" t="s">
        <v>26</v>
      </c>
      <c r="B8" s="11">
        <v>95.71</v>
      </c>
      <c r="C8" s="9" t="s">
        <v>27</v>
      </c>
    </row>
    <row r="10" spans="1:7" ht="15.75" x14ac:dyDescent="0.25">
      <c r="A10" s="3" t="s">
        <v>28</v>
      </c>
    </row>
    <row r="11" spans="1:7" ht="21.95" customHeight="1" x14ac:dyDescent="0.25">
      <c r="A11" s="4" t="s">
        <v>29</v>
      </c>
      <c r="B11" s="4" t="s">
        <v>30</v>
      </c>
      <c r="C11" s="4" t="s">
        <v>31</v>
      </c>
      <c r="D11" s="4" t="s">
        <v>32</v>
      </c>
      <c r="E11" s="4" t="s">
        <v>33</v>
      </c>
      <c r="F11" s="4" t="s">
        <v>34</v>
      </c>
      <c r="G11" s="4" t="s">
        <v>35</v>
      </c>
    </row>
    <row r="12" spans="1:7" ht="30" customHeight="1" x14ac:dyDescent="0.25">
      <c r="A12" s="6" t="s">
        <v>36</v>
      </c>
      <c r="B12" s="6" t="s">
        <v>37</v>
      </c>
      <c r="C12" s="12">
        <v>39.229999999999997</v>
      </c>
      <c r="D12" s="12">
        <v>0</v>
      </c>
      <c r="E12" s="13">
        <f>C12+D12</f>
        <v>39.229999999999997</v>
      </c>
      <c r="F12" s="14">
        <f>E12*$B$8</f>
        <v>3754.7032999999997</v>
      </c>
      <c r="G12" s="14">
        <f>E12*12*$B$8</f>
        <v>45056.439599999998</v>
      </c>
    </row>
    <row r="13" spans="1:7" ht="30" customHeight="1" x14ac:dyDescent="0.25">
      <c r="A13" s="6" t="s">
        <v>38</v>
      </c>
      <c r="B13" s="6" t="s">
        <v>39</v>
      </c>
      <c r="C13" s="12">
        <v>42</v>
      </c>
      <c r="D13" s="12">
        <v>0</v>
      </c>
      <c r="E13" s="13">
        <f>C13+D13</f>
        <v>42</v>
      </c>
      <c r="F13" s="14">
        <f>E13*$B$8</f>
        <v>4019.8199999999997</v>
      </c>
      <c r="G13" s="14">
        <f>E13*12*$B$8</f>
        <v>48237.84</v>
      </c>
    </row>
    <row r="14" spans="1:7" ht="30" customHeight="1" x14ac:dyDescent="0.25">
      <c r="A14" s="6" t="s">
        <v>40</v>
      </c>
      <c r="B14" s="6" t="s">
        <v>41</v>
      </c>
      <c r="C14" s="12">
        <v>60.74</v>
      </c>
      <c r="D14" s="12">
        <v>3.2</v>
      </c>
      <c r="E14" s="13">
        <f>C14+D14</f>
        <v>63.940000000000005</v>
      </c>
      <c r="F14" s="14">
        <f>E14*$B$8</f>
        <v>6119.6974</v>
      </c>
      <c r="G14" s="14">
        <f>E14*12*$B$8</f>
        <v>73436.368799999997</v>
      </c>
    </row>
    <row r="15" spans="1:7" ht="30" customHeight="1" x14ac:dyDescent="0.25">
      <c r="A15" s="6" t="s">
        <v>42</v>
      </c>
      <c r="B15" s="6" t="s">
        <v>43</v>
      </c>
      <c r="C15" s="12">
        <v>48.92</v>
      </c>
      <c r="D15" s="12">
        <v>4.4000000000000004</v>
      </c>
      <c r="E15" s="13">
        <f>C15+D15</f>
        <v>53.32</v>
      </c>
      <c r="F15" s="14">
        <f>E15*$B$8</f>
        <v>5103.2572</v>
      </c>
      <c r="G15" s="14">
        <f>E15*12*$B$8</f>
        <v>61239.0864</v>
      </c>
    </row>
    <row r="17" spans="1:7" ht="15.75" x14ac:dyDescent="0.25">
      <c r="A17" s="3" t="s">
        <v>44</v>
      </c>
    </row>
    <row r="18" spans="1:7" x14ac:dyDescent="0.25">
      <c r="A18" s="4" t="s">
        <v>45</v>
      </c>
      <c r="B18" s="4" t="s">
        <v>46</v>
      </c>
      <c r="C18" s="4" t="s">
        <v>47</v>
      </c>
    </row>
    <row r="19" spans="1:7" ht="27" x14ac:dyDescent="0.25">
      <c r="A19" s="6" t="s">
        <v>48</v>
      </c>
      <c r="B19" s="15">
        <v>5</v>
      </c>
      <c r="C19" s="14">
        <f>B19*$B$8</f>
        <v>478.54999999999995</v>
      </c>
    </row>
    <row r="20" spans="1:7" ht="27" x14ac:dyDescent="0.25">
      <c r="A20" s="6" t="s">
        <v>49</v>
      </c>
      <c r="B20" s="15">
        <v>12</v>
      </c>
      <c r="C20" s="14">
        <f>B20*$B$8</f>
        <v>1148.52</v>
      </c>
    </row>
    <row r="22" spans="1:7" ht="15.75" x14ac:dyDescent="0.25">
      <c r="A22" s="3" t="s">
        <v>50</v>
      </c>
    </row>
    <row r="23" spans="1:7" x14ac:dyDescent="0.25">
      <c r="A23" s="5" t="s">
        <v>51</v>
      </c>
      <c r="F23" s="16">
        <f>E12*12+B19+B20</f>
        <v>487.76</v>
      </c>
      <c r="G23" s="10">
        <f>F23*$B$8</f>
        <v>46683.509599999998</v>
      </c>
    </row>
  </sheetData>
  <mergeCells count="1">
    <mergeCell ref="A5:G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showGridLines="0" tabSelected="1" topLeftCell="A49" zoomScaleNormal="100" workbookViewId="0">
      <selection activeCell="F47" sqref="F47"/>
    </sheetView>
  </sheetViews>
  <sheetFormatPr defaultRowHeight="15" x14ac:dyDescent="0.25"/>
  <cols>
    <col min="1" max="1" width="88.5703125" bestFit="1" customWidth="1"/>
    <col min="2" max="3" width="24" customWidth="1"/>
    <col min="4" max="6" width="16" customWidth="1"/>
  </cols>
  <sheetData>
    <row r="1" spans="1:6" ht="20.25" x14ac:dyDescent="0.3">
      <c r="A1" s="1" t="s">
        <v>112</v>
      </c>
      <c r="B1" s="1" t="s">
        <v>52</v>
      </c>
      <c r="C1" s="1" t="s">
        <v>52</v>
      </c>
    </row>
    <row r="2" spans="1:6" ht="54" x14ac:dyDescent="0.25">
      <c r="A2" s="2" t="s">
        <v>53</v>
      </c>
    </row>
    <row r="4" spans="1:6" ht="15.75" x14ac:dyDescent="0.25">
      <c r="A4" s="3" t="s">
        <v>54</v>
      </c>
    </row>
    <row r="5" spans="1:6" ht="62.1" customHeight="1" x14ac:dyDescent="0.25">
      <c r="A5" s="26" t="s">
        <v>55</v>
      </c>
      <c r="B5" s="25"/>
      <c r="C5" s="25"/>
      <c r="D5" s="25"/>
      <c r="E5" s="25"/>
      <c r="F5" s="25"/>
    </row>
    <row r="7" spans="1:6" ht="15.75" x14ac:dyDescent="0.25">
      <c r="A7" s="3" t="s">
        <v>25</v>
      </c>
    </row>
    <row r="8" spans="1:6" ht="38.25" x14ac:dyDescent="0.25">
      <c r="A8" s="6" t="s">
        <v>26</v>
      </c>
      <c r="B8" s="11">
        <v>95.71</v>
      </c>
      <c r="C8" s="9" t="s">
        <v>56</v>
      </c>
    </row>
    <row r="9" spans="1:6" ht="40.5" x14ac:dyDescent="0.25">
      <c r="A9" s="5" t="s">
        <v>57</v>
      </c>
      <c r="B9" s="17">
        <v>0</v>
      </c>
    </row>
    <row r="11" spans="1:6" ht="15.75" x14ac:dyDescent="0.25">
      <c r="A11" s="3" t="s">
        <v>58</v>
      </c>
    </row>
    <row r="12" spans="1:6" x14ac:dyDescent="0.25">
      <c r="A12" s="6" t="s">
        <v>59</v>
      </c>
      <c r="B12" s="18">
        <v>6000</v>
      </c>
    </row>
    <row r="13" spans="1:6" x14ac:dyDescent="0.25">
      <c r="A13" s="6" t="s">
        <v>60</v>
      </c>
      <c r="B13" s="18">
        <v>10</v>
      </c>
    </row>
    <row r="14" spans="1:6" ht="27" x14ac:dyDescent="0.25">
      <c r="A14" s="6" t="s">
        <v>61</v>
      </c>
      <c r="B14" s="19">
        <v>0.45</v>
      </c>
    </row>
    <row r="15" spans="1:6" x14ac:dyDescent="0.25">
      <c r="A15" s="6" t="s">
        <v>62</v>
      </c>
      <c r="B15" s="19">
        <v>0</v>
      </c>
    </row>
    <row r="16" spans="1:6" x14ac:dyDescent="0.25">
      <c r="A16" s="6" t="s">
        <v>63</v>
      </c>
      <c r="B16" s="18">
        <v>1200</v>
      </c>
      <c r="C16" s="18">
        <v>300</v>
      </c>
    </row>
    <row r="17" spans="1:6" ht="27" x14ac:dyDescent="0.25">
      <c r="A17" s="6" t="s">
        <v>64</v>
      </c>
      <c r="B17" s="18">
        <v>1400</v>
      </c>
      <c r="C17" s="18">
        <v>750</v>
      </c>
    </row>
    <row r="18" spans="1:6" ht="27" x14ac:dyDescent="0.25">
      <c r="A18" s="6" t="s">
        <v>65</v>
      </c>
      <c r="B18" s="20">
        <v>4</v>
      </c>
      <c r="C18" s="20">
        <v>16</v>
      </c>
    </row>
    <row r="20" spans="1:6" ht="44.1" customHeight="1" x14ac:dyDescent="0.25">
      <c r="A20" s="27" t="s">
        <v>66</v>
      </c>
      <c r="B20" s="25"/>
      <c r="C20" s="25"/>
      <c r="D20" s="25"/>
      <c r="E20" s="25"/>
      <c r="F20" s="25"/>
    </row>
    <row r="22" spans="1:6" ht="15.75" x14ac:dyDescent="0.25">
      <c r="A22" s="3" t="s">
        <v>67</v>
      </c>
    </row>
    <row r="23" spans="1:6" x14ac:dyDescent="0.25">
      <c r="A23" s="4" t="s">
        <v>68</v>
      </c>
      <c r="B23" s="4" t="s">
        <v>69</v>
      </c>
      <c r="C23" s="4" t="s">
        <v>70</v>
      </c>
      <c r="D23" s="4" t="s">
        <v>71</v>
      </c>
      <c r="E23" s="4" t="s">
        <v>72</v>
      </c>
    </row>
    <row r="24" spans="1:6" ht="40.5" x14ac:dyDescent="0.25">
      <c r="A24" s="6" t="s">
        <v>73</v>
      </c>
      <c r="B24" s="21">
        <v>0.52600000000000002</v>
      </c>
      <c r="C24" s="13">
        <f>B24*730+6</f>
        <v>389.98</v>
      </c>
      <c r="D24" s="14">
        <f>C24*$B$8</f>
        <v>37324.985800000002</v>
      </c>
      <c r="E24" s="14">
        <f>D24*12</f>
        <v>447899.82960000006</v>
      </c>
    </row>
    <row r="25" spans="1:6" ht="27" x14ac:dyDescent="0.25">
      <c r="A25" s="6" t="s">
        <v>74</v>
      </c>
      <c r="E25" s="22">
        <f>((B12*B13*(1-B15))*(1-B14))*(B16*B18+C16*C18)/1000000+((B12*B13*(1-B15))*B14)*(B17*B18+C17*C18)/1000000</f>
        <v>792</v>
      </c>
    </row>
    <row r="26" spans="1:6" x14ac:dyDescent="0.25">
      <c r="A26" s="5" t="s">
        <v>75</v>
      </c>
      <c r="E26" s="10">
        <f>E24+E25</f>
        <v>448691.82960000006</v>
      </c>
    </row>
    <row r="28" spans="1:6" ht="15.75" x14ac:dyDescent="0.25">
      <c r="A28" s="3" t="s">
        <v>76</v>
      </c>
    </row>
    <row r="29" spans="1:6" ht="30" x14ac:dyDescent="0.25">
      <c r="A29" s="4" t="s">
        <v>77</v>
      </c>
      <c r="B29" s="4" t="s">
        <v>78</v>
      </c>
      <c r="C29" s="4" t="s">
        <v>79</v>
      </c>
      <c r="D29" s="4" t="s">
        <v>80</v>
      </c>
    </row>
    <row r="30" spans="1:6" x14ac:dyDescent="0.25">
      <c r="A30" s="18">
        <v>1</v>
      </c>
      <c r="B30" s="23">
        <f>B12*A30*(1-B15)</f>
        <v>6000</v>
      </c>
      <c r="C30" s="22">
        <f>(B30*(1-B14))*(B16*B18+C16*C18)/1000000+(B30*B14)*(B17*B18+C17*C18)/1000000</f>
        <v>79.2</v>
      </c>
      <c r="D30" s="14">
        <f>E24+C30</f>
        <v>447979.02960000007</v>
      </c>
    </row>
    <row r="31" spans="1:6" x14ac:dyDescent="0.25">
      <c r="A31" s="18">
        <v>3</v>
      </c>
      <c r="B31" s="23">
        <f>B12*A31*(1-B15)</f>
        <v>18000</v>
      </c>
      <c r="C31" s="22">
        <f>(B31*(1-B14))*(B16*B18+C16*C18)/1000000+(B31*B14)*(B17*B18+C17*C18)/1000000</f>
        <v>237.60000000000002</v>
      </c>
      <c r="D31" s="14">
        <f>E24+C31</f>
        <v>448137.42960000003</v>
      </c>
    </row>
    <row r="32" spans="1:6" x14ac:dyDescent="0.25">
      <c r="A32" s="18">
        <v>5</v>
      </c>
      <c r="B32" s="23">
        <f>B12*A32*(1-B15)</f>
        <v>30000</v>
      </c>
      <c r="C32" s="22">
        <f>(B32*(1-B14))*(B16*B18+C16*C18)/1000000+(B32*B14)*(B17*B18+C17*C18)/1000000</f>
        <v>396</v>
      </c>
      <c r="D32" s="14">
        <f>E24+C32</f>
        <v>448295.82960000006</v>
      </c>
    </row>
    <row r="33" spans="1:6" x14ac:dyDescent="0.25">
      <c r="A33" s="18">
        <v>10</v>
      </c>
      <c r="B33" s="23">
        <f>B12*A33*(1-B15)</f>
        <v>60000</v>
      </c>
      <c r="C33" s="22">
        <f>(B33*(1-B14))*(B16*B18+C16*C18)/1000000+(B33*B14)*(B17*B18+C17*C18)/1000000</f>
        <v>792</v>
      </c>
      <c r="D33" s="14">
        <f>E24+C33</f>
        <v>448691.82960000006</v>
      </c>
    </row>
    <row r="35" spans="1:6" ht="15.75" x14ac:dyDescent="0.25">
      <c r="A35" s="3" t="s">
        <v>81</v>
      </c>
    </row>
    <row r="36" spans="1:6" x14ac:dyDescent="0.25">
      <c r="A36" s="4" t="s">
        <v>68</v>
      </c>
      <c r="B36" s="4" t="s">
        <v>69</v>
      </c>
      <c r="C36" s="4" t="s">
        <v>70</v>
      </c>
      <c r="D36" s="4" t="s">
        <v>71</v>
      </c>
      <c r="E36" s="4" t="s">
        <v>72</v>
      </c>
    </row>
    <row r="37" spans="1:6" ht="40.5" x14ac:dyDescent="0.25">
      <c r="A37" s="6" t="s">
        <v>82</v>
      </c>
      <c r="B37" s="21">
        <v>0.80500000000000005</v>
      </c>
      <c r="C37" s="13">
        <f>B37*730+6</f>
        <v>593.65000000000009</v>
      </c>
      <c r="D37" s="14">
        <f>C37*$B$8</f>
        <v>56818.241500000004</v>
      </c>
      <c r="E37" s="14">
        <f>D37*12</f>
        <v>681818.89800000004</v>
      </c>
    </row>
    <row r="38" spans="1:6" ht="27" x14ac:dyDescent="0.25">
      <c r="A38" s="6" t="s">
        <v>83</v>
      </c>
      <c r="E38" s="14">
        <v>0</v>
      </c>
    </row>
    <row r="39" spans="1:6" x14ac:dyDescent="0.25">
      <c r="A39" s="5" t="s">
        <v>84</v>
      </c>
      <c r="E39" s="10">
        <f>E37+E38</f>
        <v>681818.89800000004</v>
      </c>
    </row>
    <row r="40" spans="1:6" ht="44.1" customHeight="1" x14ac:dyDescent="0.25">
      <c r="A40" s="27" t="s">
        <v>85</v>
      </c>
      <c r="B40" s="25"/>
      <c r="C40" s="25"/>
      <c r="D40" s="25"/>
      <c r="E40" s="25"/>
      <c r="F40" s="25"/>
    </row>
    <row r="42" spans="1:6" ht="15.75" x14ac:dyDescent="0.25">
      <c r="A42" s="3" t="s">
        <v>86</v>
      </c>
    </row>
    <row r="43" spans="1:6" ht="30" x14ac:dyDescent="0.25">
      <c r="A43" s="4" t="s">
        <v>87</v>
      </c>
      <c r="B43" s="4" t="s">
        <v>88</v>
      </c>
      <c r="C43" s="4" t="s">
        <v>89</v>
      </c>
    </row>
    <row r="44" spans="1:6" x14ac:dyDescent="0.25">
      <c r="A44" s="5" t="s">
        <v>90</v>
      </c>
      <c r="B44" s="7" t="s">
        <v>113</v>
      </c>
      <c r="C44" s="7" t="s">
        <v>114</v>
      </c>
    </row>
    <row r="45" spans="1:6" ht="81" x14ac:dyDescent="0.25">
      <c r="A45" s="6" t="s">
        <v>91</v>
      </c>
      <c r="B45" s="6" t="s">
        <v>92</v>
      </c>
      <c r="C45" s="6" t="s">
        <v>93</v>
      </c>
    </row>
    <row r="46" spans="1:6" ht="67.5" x14ac:dyDescent="0.25">
      <c r="A46" s="6" t="s">
        <v>94</v>
      </c>
      <c r="B46" s="6" t="s">
        <v>95</v>
      </c>
      <c r="C46" s="6" t="s">
        <v>96</v>
      </c>
    </row>
    <row r="47" spans="1:6" ht="54" x14ac:dyDescent="0.25">
      <c r="A47" s="6" t="s">
        <v>97</v>
      </c>
      <c r="B47" s="6" t="s">
        <v>98</v>
      </c>
      <c r="C47" s="6" t="s">
        <v>99</v>
      </c>
    </row>
    <row r="48" spans="1:6" ht="54" x14ac:dyDescent="0.25">
      <c r="A48" s="6" t="s">
        <v>100</v>
      </c>
      <c r="B48" s="6" t="s">
        <v>101</v>
      </c>
      <c r="C48" s="6" t="s">
        <v>102</v>
      </c>
    </row>
    <row r="49" spans="1:6" ht="54" x14ac:dyDescent="0.25">
      <c r="A49" s="6" t="s">
        <v>103</v>
      </c>
      <c r="B49" s="6" t="s">
        <v>104</v>
      </c>
      <c r="C49" s="6" t="s">
        <v>105</v>
      </c>
    </row>
    <row r="51" spans="1:6" ht="15.75" x14ac:dyDescent="0.25">
      <c r="A51" s="3" t="s">
        <v>106</v>
      </c>
    </row>
    <row r="52" spans="1:6" x14ac:dyDescent="0.25">
      <c r="A52" s="24" t="s">
        <v>107</v>
      </c>
      <c r="B52" s="25"/>
      <c r="C52" s="25"/>
      <c r="D52" s="25"/>
      <c r="E52" s="25"/>
      <c r="F52" s="25"/>
    </row>
    <row r="53" spans="1:6" ht="33.950000000000003" customHeight="1" x14ac:dyDescent="0.25">
      <c r="A53" s="26" t="s">
        <v>108</v>
      </c>
      <c r="B53" s="25"/>
      <c r="C53" s="25"/>
      <c r="D53" s="25"/>
      <c r="E53" s="25"/>
      <c r="F53" s="25"/>
    </row>
    <row r="54" spans="1:6" ht="33.950000000000003" customHeight="1" x14ac:dyDescent="0.25">
      <c r="A54" s="26" t="s">
        <v>109</v>
      </c>
      <c r="B54" s="25"/>
      <c r="C54" s="25"/>
      <c r="D54" s="25"/>
      <c r="E54" s="25"/>
      <c r="F54" s="25"/>
    </row>
    <row r="55" spans="1:6" ht="33.950000000000003" customHeight="1" x14ac:dyDescent="0.25">
      <c r="A55" s="26" t="s">
        <v>110</v>
      </c>
      <c r="B55" s="25"/>
      <c r="C55" s="25"/>
      <c r="D55" s="25"/>
      <c r="E55" s="25"/>
      <c r="F55" s="25"/>
    </row>
    <row r="56" spans="1:6" ht="33.950000000000003" customHeight="1" x14ac:dyDescent="0.25">
      <c r="A56" s="26" t="s">
        <v>111</v>
      </c>
      <c r="B56" s="25"/>
      <c r="C56" s="25"/>
      <c r="D56" s="25"/>
      <c r="E56" s="25"/>
      <c r="F56" s="25"/>
    </row>
  </sheetData>
  <mergeCells count="8">
    <mergeCell ref="A54:F54"/>
    <mergeCell ref="A52:F52"/>
    <mergeCell ref="A5:F5"/>
    <mergeCell ref="A40:F40"/>
    <mergeCell ref="A56:F56"/>
    <mergeCell ref="A20:F20"/>
    <mergeCell ref="A53:F53"/>
    <mergeCell ref="A55:F55"/>
  </mergeCells>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Browser Extension</vt:lpstr>
      <vt:lpstr>Admission Bot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2026-07-30T06:39:12Z</dcterms:created>
  <dcterms:modified xsi:type="dcterms:W3CDTF">2026-07-30T10:10:06Z</dcterms:modified>
</cp:coreProperties>
</file>