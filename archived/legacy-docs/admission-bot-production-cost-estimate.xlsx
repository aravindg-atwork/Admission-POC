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I Assissant POC\docs\"/>
    </mc:Choice>
  </mc:AlternateContent>
  <bookViews>
    <workbookView xWindow="0" yWindow="0" windowWidth="24000" windowHeight="9615" activeTab="1"/>
  </bookViews>
  <sheets>
    <sheet name="Recommendation" sheetId="1" r:id="rId1"/>
    <sheet name="Path Comparison" sheetId="2" r:id="rId2"/>
    <sheet name="Sarvam Cost Projection" sheetId="3" r:id="rId3"/>
    <sheet name="Local Model Comparison" sheetId="4" r:id="rId4"/>
    <sheet name="Hosting Options" sheetId="5" r:id="rId5"/>
    <sheet name="Assumptions &amp; Sources" sheetId="6" r:id="rId6"/>
  </sheets>
  <calcPr calcId="152511"/>
</workbook>
</file>

<file path=xl/calcChain.xml><?xml version="1.0" encoding="utf-8"?>
<calcChain xmlns="http://schemas.openxmlformats.org/spreadsheetml/2006/main">
  <c r="G9" i="5" l="1"/>
  <c r="I9" i="5" s="1"/>
  <c r="J9" i="5" s="1"/>
  <c r="G8" i="5"/>
  <c r="I8" i="5" s="1"/>
  <c r="J8" i="5" s="1"/>
  <c r="G7" i="5"/>
  <c r="I7" i="5" s="1"/>
  <c r="J7" i="5" s="1"/>
  <c r="I6" i="5"/>
  <c r="F10" i="4" s="1"/>
  <c r="G6" i="5"/>
  <c r="G5" i="5"/>
  <c r="I5" i="5" s="1"/>
  <c r="B39" i="3"/>
  <c r="C39" i="3" s="1"/>
  <c r="D39" i="3" s="1"/>
  <c r="C38" i="3"/>
  <c r="D38" i="3" s="1"/>
  <c r="B38" i="3"/>
  <c r="B37" i="3"/>
  <c r="C37" i="3" s="1"/>
  <c r="D37" i="3" s="1"/>
  <c r="B36" i="3"/>
  <c r="C36" i="3" s="1"/>
  <c r="D36" i="3" s="1"/>
  <c r="B22" i="3"/>
  <c r="B24" i="3" s="1"/>
  <c r="B21" i="3"/>
  <c r="C7" i="2"/>
  <c r="B18" i="1"/>
  <c r="J5" i="5" l="1"/>
  <c r="F6" i="4"/>
  <c r="F9" i="4"/>
  <c r="F5" i="4"/>
  <c r="F8" i="4"/>
  <c r="F7" i="4"/>
  <c r="G10" i="4"/>
  <c r="B23" i="3"/>
  <c r="J6" i="5"/>
  <c r="B25" i="3" l="1"/>
  <c r="B26" i="3"/>
  <c r="B30" i="3" l="1"/>
  <c r="B32" i="3" s="1"/>
  <c r="B29" i="3"/>
  <c r="B31" i="3" s="1"/>
  <c r="B7" i="2" l="1"/>
  <c r="B17" i="1"/>
  <c r="B16" i="1"/>
  <c r="B14" i="1"/>
  <c r="B15" i="1"/>
</calcChain>
</file>

<file path=xl/sharedStrings.xml><?xml version="1.0" encoding="utf-8"?>
<sst xmlns="http://schemas.openxmlformats.org/spreadsheetml/2006/main" count="223" uniqueCount="199">
  <si>
    <t>AI Admission Assistant — LLM Path Recommendation</t>
  </si>
  <si>
    <t>Sarvam (cloud) vs. fully local self-host vs. Bhashini (government) — cost, quality, and what to ship now. Companion to docs/MODELS_AND_DEPLOYMENT.md. Scope: the admission chat/RAG pipeline only — see orderassist-extension-cost-breakdown.xlsx and orderassist-extension-production-cost-estimate.xlsx for the browser extension’s separate cost estimate.</t>
  </si>
  <si>
    <t>Recommendation</t>
  </si>
  <si>
    <t>Ship now on Sarvam-primary + local-fallback — the architecture already built in MODELS_AND_DEPLOYMENT.md.</t>
  </si>
  <si>
    <t>• It is the only path that is both available today and gives the best answer quality — Sarvam-105B is benchmarked as the top open model for Indian-language Q&amp;A (see 'Path Comparison').</t>
  </si>
  <si>
    <t>• The marginal cost of using Sarvam over a fully-local model is roughly $0.91–$9.10/year across the 1–10 questions/student sensitivity range at 6,000 students, worst-case language mix (see 'Sarvam Cost Projection') — noise next to the $3,026–$4,680/year base hosting cost (Option B–Option A) that is required regardless of which LLM answers the question.</t>
  </si>
  <si>
    <t>• Raise SARVAM_DAILY_LIMIT (currently 150/day, a POC safety cap) and move to Sarvam's Business rate-limit tier (1,000 req/min) before go-live — the current cap will throttle real traffic on a busy day, not because of cost but because of request-rate ceiling.</t>
  </si>
  <si>
    <t>• Track Bhashini as a future swap-in, not a blocker. It is government-subsidized and could shrink the Sarvam line further once its enterprise review clears — but its production price is not public yet, and it is a translation/speech layer, not a drop-in replacement for Sarvam's answer-generation model (see 'Path Comparison').</t>
  </si>
  <si>
    <t>• Upgrade the local fallback model from gemma2:2b to Qwen3-8B at $0 incremental hosting cost (it fits the GPU tier already budgeted) — this is the fix for the failure mode that actually matters: what a student sees when Sarvam is capped or down during a traffic spike.</t>
  </si>
  <si>
    <t>Key numbers</t>
  </si>
  <si>
    <t>Metric</t>
  </si>
  <si>
    <t>Value</t>
  </si>
  <si>
    <t>Source</t>
  </si>
  <si>
    <t>Total system cost, first year — Option B (CPU) hosting + Sarvam worst-case API</t>
  </si>
  <si>
    <t>Hosting Options + Sarvam Cost Projection</t>
  </si>
  <si>
    <t>Total system cost, first year — Option A (GPU) hosting + Sarvam worst-case API</t>
  </si>
  <si>
    <t>Sarvam marginal cost/year, worst case (6,000 students, ≤10 Q each, 45% Hindi/Marathi, 0% cache hit)</t>
  </si>
  <si>
    <t>Sarvam Cost Projection</t>
  </si>
  <si>
    <t>Sarvam cost as % of total system cost (GPU option)</t>
  </si>
  <si>
    <t>Calculated</t>
  </si>
  <si>
    <t>Local-model fallback upgrade (gemma2:2b → Qwen3-8B) incremental hosting cost</t>
  </si>
  <si>
    <t>Local Model Comparison</t>
  </si>
  <si>
    <t>Bhashini production price</t>
  </si>
  <si>
    <t>Not public — blocked in review, contact required</t>
  </si>
  <si>
    <t>Path Comparison / Assumptions</t>
  </si>
  <si>
    <t>Sarvam vs. Fully Local vs. Bhashini</t>
  </si>
  <si>
    <t>Side-by-side on what each option actually is, result quality, cost at 6,000-student scale, availability, and risk.</t>
  </si>
  <si>
    <t>Dimension</t>
  </si>
  <si>
    <t>Sarvam (cloud primary)</t>
  </si>
  <si>
    <t>Fully local self-host</t>
  </si>
  <si>
    <t>Bhashini (government)</t>
  </si>
  <si>
    <t>What it actually is</t>
  </si>
  <si>
    <t>Full conversational LLM, purpose-built for Indic Q&amp;A (sarvam-105b)</t>
  </si>
  <si>
    <t>You run the LLM yourself — e.g. Qwen3-8B (see Local Model Comparison tab)</t>
  </si>
  <si>
    <t>Translation / STT / TTS infrastructure — NOT a reasoning/chat LLM. Would sit in front of whatever LLM answers the question (translate Hindi/Marathi → English → answer → translate back), not replace it.</t>
  </si>
  <si>
    <t>Result quality</t>
  </si>
  <si>
    <t>Best-in-class for Indian languages — Sarvam-105B wins ~90% of pairwise comparisons on Indic benchmarks, 84% on STEM/reasoning (third-party benchmark summary, not independently re-run)</t>
  </si>
  <si>
    <t>Solid but a step down — 8B-class generalists (Qwen3-8B, Llama-3.1-8B) rank top-3 for Hindi/Marathi in 2026 rankings, below Sarvam’s specialized model</t>
  </si>
  <si>
    <t>Translation quality is strong (built for exactly this by MeitY/IITs), but does not answer questions on its own — answer quality still depends on whichever LLM sits behind it</t>
  </si>
  <si>
    <t>Marginal cost, 6,000-student scale</t>
  </si>
  <si>
    <t>Unknown — no public production price; free tier covers individual/low-volume use only</t>
  </si>
  <si>
    <t>Available today?</t>
  </si>
  <si>
    <t>Yes — production-ready, has a Business rate-limit tier (1,000 req/min) explicitly for production load</t>
  </si>
  <si>
    <t>Yes</t>
  </si>
  <si>
    <t>No — blocked in review (per project status, 2026-07-30). Cannot be part of a ship-now decision.</t>
  </si>
  <si>
    <t>Data residency / risk</t>
  </si>
  <si>
    <t>Cloud dependency; student question data leaves institution infra — check against any data-residency requirement</t>
  </si>
  <si>
    <t>No data leaves premises, no vendor dependency, no surprise pricing changes — institution owns the ops burden and the quality ceiling</t>
  </si>
  <si>
    <t>Government-run — likely most durable long-term for an Indian public-sector-adjacent use case, but integration effort and price are both unknowns today</t>
  </si>
  <si>
    <t>License / lock-in</t>
  </si>
  <si>
    <t>Proprietary cloud API, pay-as-you-go, no subscription, credits never expire</t>
  </si>
  <si>
    <t>Apache 2.0 (Qwen3) or Meta community license (Llama 3.1) — no per-call fees regardless of volume</t>
  </si>
  <si>
    <t>Government DPI — terms not reviewed in this session</t>
  </si>
  <si>
    <t>Sarvam API Cost Projection — 6,000-Student Worst Case</t>
  </si>
  <si>
    <t>Worst-case = 100% adoption, ceiling usage, 0% FAQ-cache hit rate, upper-bound Hindi/Marathi share. All yellow cells are editable assumptions — see Assumptions &amp; Sources for what is confirmed vs. estimated.</t>
  </si>
  <si>
    <t>Inputs (edit these)</t>
  </si>
  <si>
    <t>Students (minimum, worst case = 100% adoption)</t>
  </si>
  <si>
    <t>Max questions/student (worst-case ceiling)</t>
  </si>
  <si>
    <t>% of questions in Hindi/Marathi (worst-case share)</t>
  </si>
  <si>
    <t>FAQ-cache hit rate assumed (worst case = 0%, every question is a fresh LLM call)</t>
  </si>
  <si>
    <t>Tokens/call — English input (question + RAG context + system prompt, estimated)</t>
  </si>
  <si>
    <t>Tokens/call — English output (answer + citations, estimated)</t>
  </si>
  <si>
    <t>Tokens/call — Hindi/Marathi input (Devanagari tokenizes less efficiently, ~1.2x assumed)</t>
  </si>
  <si>
    <t>Tokens/call — Hindi/Marathi output (~2.5x English, Devanagari tokenizer inflation)</t>
  </si>
  <si>
    <t>Sarvam-105B input price (₹/1M tok) — confirmed live 2026-07-30</t>
  </si>
  <si>
    <t>Sarvam-105B cached-input price (₹/1M tok) — confirmed live 2026-07-30 (not used below; for reference)</t>
  </si>
  <si>
    <t>Sarvam-105B output price (₹/1M tok) — confirmed live 2026-07-30</t>
  </si>
  <si>
    <t>Sarvam-30B input price (₹/1M tok) — THIRD-PARTY, not on Sarvam’s own current pricing page</t>
  </si>
  <si>
    <t>Sarvam-30B output price (₹/1M tok) — THIRD-PARTY, not on Sarvam’s own current pricing page</t>
  </si>
  <si>
    <t>INR → USD FX rate — NOT independently confirmed this session, placeholder</t>
  </si>
  <si>
    <t>Calculated — worst case at Max questions/student</t>
  </si>
  <si>
    <t>Total interactions (students × max questions/student)</t>
  </si>
  <si>
    <t>Effective LLM calls after cache (worst case, 0% cache hit)</t>
  </si>
  <si>
    <t>English-language calls</t>
  </si>
  <si>
    <t>Hindi/Marathi calls</t>
  </si>
  <si>
    <t>Total input tokens (English + Hindi/Marathi)</t>
  </si>
  <si>
    <t>Total output tokens (English + Hindi/Marathi)</t>
  </si>
  <si>
    <t>Total cost, worst case</t>
  </si>
  <si>
    <t>Total cost — Sarvam-105B rates (₹)</t>
  </si>
  <si>
    <t>Total cost — Sarvam-30B rates (₹), if still billable</t>
  </si>
  <si>
    <t>Total cost — Sarvam-105B rates ($) — THIS IS THE HEADLINE NUMBER USED ELSEWHERE</t>
  </si>
  <si>
    <t>Total cost — Sarvam-30B rates ($), if still billable</t>
  </si>
  <si>
    <t>Sensitivity — cost by questions/student (Sarvam-105B rates)</t>
  </si>
  <si>
    <t>Questions/student</t>
  </si>
  <si>
    <t>Total effective calls</t>
  </si>
  <si>
    <t>Cost (₹)</t>
  </si>
  <si>
    <t>Cost ($)</t>
  </si>
  <si>
    <t>Self-Hosted Fallback / Local LLM Comparison</t>
  </si>
  <si>
    <t>Candidates to replace or complement gemma2:2b as the local fallback. VRAM at Q4_K_M quantization; GPU tier and $/mo pulled from the Hosting Options tab. Baseline = current Option A box (g4dn.xlarge).</t>
  </si>
  <si>
    <t>Model</t>
  </si>
  <si>
    <t>Params (B)</t>
  </si>
  <si>
    <t>VRAM need, Q4 (GB)</t>
  </si>
  <si>
    <t>Fits current T4 16GB box?</t>
  </si>
  <si>
    <t>GPU tier required</t>
  </si>
  <si>
    <t>$/mo (that tier)</t>
  </si>
  <si>
    <t>Δ vs. baseline $/mo</t>
  </si>
  <si>
    <t>Hindi</t>
  </si>
  <si>
    <t>Marathi</t>
  </si>
  <si>
    <t>License</t>
  </si>
  <si>
    <t>Notes</t>
  </si>
  <si>
    <t>gemma2:2b (current)</t>
  </si>
  <si>
    <t>g4dn.xlarge (T4 16GB)</t>
  </si>
  <si>
    <t>Weak, unverified for Indic</t>
  </si>
  <si>
    <t>Gemma license</t>
  </si>
  <si>
    <t>Docs already call this "lower quality" — current fallback</t>
  </si>
  <si>
    <t>Sarvam-2B</t>
  </si>
  <si>
    <t>Indic-focused</t>
  </si>
  <si>
    <t>Open-weight</t>
  </si>
  <si>
    <t>Same publisher as cloud primary; same size class as gemma2:2b so likely similarly limited on harder queries</t>
  </si>
  <si>
    <t>Airavata-7B (AI4Bharat)</t>
  </si>
  <si>
    <t>Purpose-built for Hindi</t>
  </si>
  <si>
    <t>No Marathi support</t>
  </si>
  <si>
    <t>Llama 2 community license</t>
  </si>
  <si>
    <t>DISQUALIFYING on its own — no Marathi, and both languages are required</t>
  </si>
  <si>
    <t>Llama-3.1-8B-Instruct</t>
  </si>
  <si>
    <t>Top-3 pick, 2026 benchmarks</t>
  </si>
  <si>
    <t>Meta community license (minor commercial-use restrictions)</t>
  </si>
  <si>
    <t>General multilingual, not Indic-specialized</t>
  </si>
  <si>
    <t>Qwen3-8B (recommended to test)</t>
  </si>
  <si>
    <t>Apache 2.0</t>
  </si>
  <si>
    <t>Strong generalist, cleanest license, one-line OLLAMA_MODEL swap, $0 incremental hosting</t>
  </si>
  <si>
    <t>Qwen3-14B</t>
  </si>
  <si>
    <t>Tight — shared with embedding + TTS on same GPU</t>
  </si>
  <si>
    <t>g6.xlarge (L4 24GB)</t>
  </si>
  <si>
    <t>Stronger reasoning than 8B tier</t>
  </si>
  <si>
    <t>Only worth the jump if an 8B-class model fails a real eval</t>
  </si>
  <si>
    <t>Sarvam-105B (reference only)</t>
  </si>
  <si>
    <t>No — exceeds every single-GPU tier here</t>
  </si>
  <si>
    <t>Multi-GPU / A100-class — separate estimate needed</t>
  </si>
  <si>
    <t>N/A</t>
  </si>
  <si>
    <t>Best-in-class, per Sarvam’s own reported benchmarks</t>
  </si>
  <si>
    <t>Best-in-class</t>
  </si>
  <si>
    <t>Same model family as the cloud primary; self-hosting it is a different cost bracket entirely, not comparable to the rows above</t>
  </si>
  <si>
    <t>Admission Bot — Hosting Options (AWS)</t>
  </si>
  <si>
    <t>Live on-demand pricing, us-east-1, confirmed 2026-07-30. Compute $/mo = hourly rate × 730 hrs/month, matching the convention used in orderassist-extension-production-cost-estimate.xlsx.</t>
  </si>
  <si>
    <t>Option</t>
  </si>
  <si>
    <t>Instance</t>
  </si>
  <si>
    <t>vCPU / RAM</t>
  </si>
  <si>
    <t>GPU</t>
  </si>
  <si>
    <t>Storage</t>
  </si>
  <si>
    <t>$/hr</t>
  </si>
  <si>
    <t>Compute $/mo</t>
  </si>
  <si>
    <t>Storage $/mo</t>
  </si>
  <si>
    <t>Total $/mo</t>
  </si>
  <si>
    <t>$/year</t>
  </si>
  <si>
    <t>Option A — GPU (recommended for production)</t>
  </si>
  <si>
    <t>g4dn.xlarge</t>
  </si>
  <si>
    <t>4 vCPU / 16 GB</t>
  </si>
  <si>
    <t>NVIDIA T4, 16 GB VRAM</t>
  </si>
  <si>
    <t>75 GB gp3 EBS</t>
  </si>
  <si>
    <t>Runs Ollama fallback (fits an 8B model at Q4), embedding service, AI4Bharat TTS, all GPU-accelerated. Confirmed rate: economize.cloud, 2026-07-30.</t>
  </si>
  <si>
    <t>Option A2 — GPU upgrade (if Qwen3-14B needed)</t>
  </si>
  <si>
    <t>g6.xlarge</t>
  </si>
  <si>
    <t>NVIDIA L4, 24 GB VRAM</t>
  </si>
  <si>
    <t>Only needed if an 8B-class fallback model fails a quality eval and Qwen3-14B is required. Confirmed rate: calculator.holori.com, 2026-07-30.</t>
  </si>
  <si>
    <t>Option A3 — GPU alternative (reference)</t>
  </si>
  <si>
    <t>g5.xlarge</t>
  </si>
  <si>
    <t>NVIDIA A10G, 24 GB VRAM</t>
  </si>
  <si>
    <t>Pricier alternative to A2 with similar VRAM — included for comparison. Confirmed rate: economize.cloud, 2026-07-30.</t>
  </si>
  <si>
    <t>Option B — CPU (cheaper pilot start)</t>
  </si>
  <si>
    <t>c6i.2xlarge</t>
  </si>
  <si>
    <t>8 vCPU / 16 GB</t>
  </si>
  <si>
    <t>None (CPU-only)</t>
  </si>
  <si>
    <t>40 GB gp3 EBS</t>
  </si>
  <si>
    <t>Everything on CPU; English LLM ~10-30s, Hindi/Marathi via Sarvam cloud stay fast. Repeated Qs are instant via FAQ cache. Confirmed rate: economize.cloud, 2026-07-30.</t>
  </si>
  <si>
    <t>Option C — Thin server + all-cloud AI</t>
  </si>
  <si>
    <t>t3.small</t>
  </si>
  <si>
    <t>2 vCPU / 2 GB</t>
  </si>
  <si>
    <t>None</t>
  </si>
  <si>
    <t>10 GB gp3 EBS</t>
  </si>
  <si>
    <t>Hosts only the Python backend; routes ALL chat to Sarvam, no local fallback capability at all. Hourly rate EXTRAPOLATED from confirmed t3.large rate ($0.0832/hr) via AWS t3-family sizing steps — not independently confirmed this session.</t>
  </si>
  <si>
    <t>Assumptions, Confirmations &amp; Sources</t>
  </si>
  <si>
    <t>What is confirmed live vs. estimated vs. unknown, all in one place.</t>
  </si>
  <si>
    <t>1. Scale assumed</t>
  </si>
  <si>
    <t>6,000 students minimum, worst case = 100% adoption (every student assumed to use the chatbot), up to 10 questions/student ceiling. Per project direction, 2026-07-30 — not derived from measured usage; there is no pilot data yet.</t>
  </si>
  <si>
    <t>2. Language mix</t>
  </si>
  <si>
    <t>Up to 45% of questions assumed Hindi/Marathi (worst case), per project owner's stated belief — not measured. English assumed most-used overall; Tamil (also supported per MODELS_AND_DEPLOYMENT.md) is not separately modeled here.</t>
  </si>
  <si>
    <t>3. Token counts</t>
  </si>
  <si>
    <t>Estimated, not measured. English: ~1,200 input / ~300 output tokens per call, by analogy to the extension's measured note-generation calls (~450 tok) scaled up for RAG retrieval context. Hindi/Marathi: inflated ~1.2x input / ~2.5x output vs. English, reflecting that Devanagari-script text tokenizes less efficiently than English on most BPE tokenizers (general LLM tokenization behavior, not measured for this project's specific tokenizer).</t>
  </si>
  <si>
    <t>4. Sarvam pricing — CONFIRMED</t>
  </si>
  <si>
    <t>₹4 input / ₹2.5 cached-input / ₹16 output per 1M tokens for the chat-completion model on Sarvam's own live pricing docs, retrieved 2026-07-30: docs.sarvam.ai/api/getting-started/pricing.md and sarvam.ai/api-pricing. This page currently lists Sarvam-105B; Sarvam-30B does NOT appear on it.</t>
  </si>
  <si>
    <t>5. Sarvam-30B pricing — UNCONFIRMED / FLAG</t>
  </si>
  <si>
    <t>₹2.5 input / ₹1.5 cached / ₹10 output per 1M tokens appears via a third-party aggregator (artificialanalysis.ai), not on Sarvam's own current pricing page. This project's backend/config.py hardcodes SARVAM_MODEL="sarvam-30b". Recommend emailing developer@sarvam.ai to confirm whether 30B is still billable/supported before finalizing a production budget — if it has been deprecated in favor of 105B, real cost is ~60% higher than the 30B-rate numbers would suggest (105B rates are used as the headline number in this workbook for that reason).</t>
  </si>
  <si>
    <t>6. FX rate — UNCONFIRMED</t>
  </si>
  <si>
    <t>₹87/$1 used throughout as a placeholder. NOT independently confirmed this session. Verify the live rate before presenting final USD figures; at this cost scale (single-digit to double-digit dollars/year) the FX rate barely moves the number, but it should still be sourced properly for a director-facing document.</t>
  </si>
  <si>
    <t>7. AWS instance pricing — CONFIRMED</t>
  </si>
  <si>
    <t>g4dn.xlarge $0.526/hr, g5.xlarge $1.006/hr, g6.xlarge $0.805/hr, c6i.2xlarge ~$0.341/hr — all us-east-1 on-demand, retrieved live 2026-07-30 via economize.cloud / calculator.holori.com (third-party pricing aggregators, not fetched directly from aws.amazon.com/ec2/pricing due to access restrictions in this session). t3.small ($0.0208/hr) is EXTRAPOLATED from the previously-confirmed t3.large rate ($0.0832/hr, from orderassist-extension-production-cost-estimate.xlsx) via AWS t3-family sizing steps, not independently confirmed.</t>
  </si>
  <si>
    <t>8. EBS storage pricing</t>
  </si>
  <si>
    <t>gp3 $0.08/GB/month, AWS list price — same rate used in orderassist-extension-production-cost-estimate.xlsx.</t>
  </si>
  <si>
    <t>9. VRAM / quantization figures</t>
  </si>
  <si>
    <t>Sourced from llmrun.dev and localllm.in model-sizing guides, 2026, at Q4_K_M quantization. These do not separately budget for the embedding service and AI4Bharat TTS sharing the same GPU — real production sizing should load-test the actual box rather than rely on this estimate alone.</t>
  </si>
  <si>
    <t>10. Model quality / benchmark claims</t>
  </si>
  <si>
    <t>Hindi/Marathi top-3 rankings and Sarvam-105B benchmark win-rates are sourced from third-party benchmark summaries (siliconflow.com, buildfastwithai.com), 2026 — these summarize Sarvam's own reported benchmarks and were not independently re-run against this project's specific prospectus/FAQ content.</t>
  </si>
  <si>
    <t>11. Bhashini</t>
  </si>
  <si>
    <t>Free tier covers individual/low-volume developer use only. Production/commercial use requires contacting Bhashini directly — no public price exists (bhashini.ai/pricing, retrieved 2026-07-30). This project's Bhashini integration is blocked in review as of 2026-07-30; status and price are both unknown until that clears.</t>
  </si>
  <si>
    <t>12. Explicitly excluded, by project direction (2026-07-30)</t>
  </si>
  <si>
    <t>A cost-of-human-staffed-support (ROI/labor-cost) comparison was requested, then explicitly dropped at the project owner's direction because no real institutional labor-cost baseline was available — intentionally left out of this workbook rather than estimated with an invented number. Add it back if a real figure becomes available.</t>
  </si>
  <si>
    <t>13. Scope</t>
  </si>
  <si>
    <t>This workbook covers the admission chat/RAG pipeline only. See docs/orderassist-extension-cost-breakdown.xlsx and docs/orderassist-extension-production-cost-estimate.xlsx for the browser extension's separate, already-excluded cost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</si>
</sst>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;\(&quot;$&quot;#,##0.00\);\-"/>
    <numFmt numFmtId="165" formatCode="0.0%"/>
    <numFmt numFmtId="166" formatCode="&quot;₹&quot;#,##0.00;\(&quot;₹&quot;#,##0.00\);\-"/>
    <numFmt numFmtId="167" formatCode="&quot;$&quot;0.0000"/>
    <numFmt numFmtId="168" formatCode="&quot;$&quot;#,##0;\(&quot;$&quot;#,##0\);\-"/>
  </numFmts>
  <fonts count="10" x14ac:knownFonts="1">
    <font>
      <sz val="11"/>
      <color theme="1"/>
      <name val="Calibri"/>
      <family val="2"/>
      <scheme val="minor"/>
    </font>
    <font>
      <b/>
      <sz val="16"/>
      <color rgb="FF1A1F27"/>
      <name val="Arial"/>
    </font>
    <font>
      <sz val="10.5"/>
      <color rgb="FF5B6572"/>
      <name val="Arial"/>
    </font>
    <font>
      <b/>
      <sz val="12"/>
      <color rgb="FF1A1F27"/>
      <name val="Arial"/>
    </font>
    <font>
      <b/>
      <sz val="10.5"/>
      <color rgb="FF000000"/>
      <name val="Arial"/>
    </font>
    <font>
      <sz val="10.5"/>
      <color rgb="FF000000"/>
      <name val="Arial"/>
    </font>
    <font>
      <b/>
      <sz val="11"/>
      <color rgb="FFFFFFFF"/>
      <name val="Arial"/>
    </font>
    <font>
      <sz val="10.5"/>
      <color rgb="FF008000"/>
      <name val="Arial"/>
    </font>
    <font>
      <i/>
      <sz val="9.5"/>
      <color rgb="FF5B6572"/>
      <name val="Arial"/>
    </font>
    <font>
      <sz val="10.5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A7F4E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164" fontId="7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3" fontId="9" fillId="3" borderId="0" xfId="0" applyNumberFormat="1" applyFont="1" applyFill="1"/>
    <xf numFmtId="165" fontId="9" fillId="3" borderId="0" xfId="0" applyNumberFormat="1" applyFont="1" applyFill="1"/>
    <xf numFmtId="166" fontId="9" fillId="3" borderId="0" xfId="0" applyNumberFormat="1" applyFont="1" applyFill="1"/>
    <xf numFmtId="2" fontId="9" fillId="3" borderId="0" xfId="0" applyNumberFormat="1" applyFont="1" applyFill="1"/>
    <xf numFmtId="3" fontId="5" fillId="0" borderId="0" xfId="0" applyNumberFormat="1" applyFont="1"/>
    <xf numFmtId="3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9" fillId="3" borderId="0" xfId="0" applyFont="1" applyFill="1"/>
    <xf numFmtId="3" fontId="5" fillId="0" borderId="0" xfId="0" applyNumberFormat="1" applyFont="1" applyAlignment="1">
      <alignment vertical="top" wrapText="1"/>
    </xf>
    <xf numFmtId="167" fontId="9" fillId="3" borderId="0" xfId="0" applyNumberFormat="1" applyFont="1" applyFill="1"/>
    <xf numFmtId="164" fontId="9" fillId="3" borderId="0" xfId="0" applyNumberFormat="1" applyFont="1" applyFill="1"/>
    <xf numFmtId="168" fontId="0" fillId="0" borderId="0" xfId="0" applyNumberFormat="1"/>
    <xf numFmtId="0" fontId="5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opLeftCell="A10" workbookViewId="0"/>
  </sheetViews>
  <sheetFormatPr defaultRowHeight="15" x14ac:dyDescent="0.25"/>
  <cols>
    <col min="1" max="1" width="62" customWidth="1"/>
    <col min="2" max="2" width="20" customWidth="1"/>
    <col min="3" max="3" width="32" customWidth="1"/>
    <col min="4" max="7" width="14" customWidth="1"/>
  </cols>
  <sheetData>
    <row r="1" spans="1:7" ht="20.25" x14ac:dyDescent="0.3">
      <c r="A1" s="1" t="s">
        <v>0</v>
      </c>
    </row>
    <row r="2" spans="1:7" ht="81" x14ac:dyDescent="0.25">
      <c r="A2" s="2" t="s">
        <v>1</v>
      </c>
    </row>
    <row r="4" spans="1:7" ht="15.75" x14ac:dyDescent="0.25">
      <c r="A4" s="3" t="s">
        <v>2</v>
      </c>
    </row>
    <row r="5" spans="1:7" ht="40.5" x14ac:dyDescent="0.25">
      <c r="A5" s="4" t="s">
        <v>3</v>
      </c>
    </row>
    <row r="6" spans="1:7" ht="32.1" customHeight="1" x14ac:dyDescent="0.25">
      <c r="A6" s="24" t="s">
        <v>4</v>
      </c>
      <c r="B6" s="25"/>
      <c r="C6" s="25"/>
      <c r="D6" s="25"/>
      <c r="E6" s="25"/>
      <c r="F6" s="25"/>
      <c r="G6" s="25"/>
    </row>
    <row r="7" spans="1:7" ht="32.1" customHeight="1" x14ac:dyDescent="0.25">
      <c r="A7" s="24" t="s">
        <v>5</v>
      </c>
      <c r="B7" s="25"/>
      <c r="C7" s="25"/>
      <c r="D7" s="25"/>
      <c r="E7" s="25"/>
      <c r="F7" s="25"/>
      <c r="G7" s="25"/>
    </row>
    <row r="8" spans="1:7" ht="32.1" customHeight="1" x14ac:dyDescent="0.25">
      <c r="A8" s="24" t="s">
        <v>6</v>
      </c>
      <c r="B8" s="25"/>
      <c r="C8" s="25"/>
      <c r="D8" s="25"/>
      <c r="E8" s="25"/>
      <c r="F8" s="25"/>
      <c r="G8" s="25"/>
    </row>
    <row r="9" spans="1:7" ht="32.1" customHeight="1" x14ac:dyDescent="0.25">
      <c r="A9" s="24" t="s">
        <v>7</v>
      </c>
      <c r="B9" s="25"/>
      <c r="C9" s="25"/>
      <c r="D9" s="25"/>
      <c r="E9" s="25"/>
      <c r="F9" s="25"/>
      <c r="G9" s="25"/>
    </row>
    <row r="10" spans="1:7" ht="32.1" customHeight="1" x14ac:dyDescent="0.25">
      <c r="A10" s="24" t="s">
        <v>8</v>
      </c>
      <c r="B10" s="25"/>
      <c r="C10" s="25"/>
      <c r="D10" s="25"/>
      <c r="E10" s="25"/>
      <c r="F10" s="25"/>
      <c r="G10" s="25"/>
    </row>
    <row r="12" spans="1:7" ht="15.75" x14ac:dyDescent="0.25">
      <c r="A12" s="3" t="s">
        <v>9</v>
      </c>
    </row>
    <row r="13" spans="1:7" ht="20.100000000000001" customHeight="1" x14ac:dyDescent="0.25">
      <c r="A13" s="6" t="s">
        <v>10</v>
      </c>
      <c r="B13" s="6" t="s">
        <v>11</v>
      </c>
      <c r="C13" s="6" t="s">
        <v>12</v>
      </c>
    </row>
    <row r="14" spans="1:7" ht="27.95" customHeight="1" x14ac:dyDescent="0.25">
      <c r="A14" s="5" t="s">
        <v>13</v>
      </c>
      <c r="B14" s="7">
        <f>'Hosting Options'!J8+'Sarvam Cost Projection'!B31</f>
        <v>3034.6634482758618</v>
      </c>
      <c r="C14" s="8" t="s">
        <v>14</v>
      </c>
    </row>
    <row r="15" spans="1:7" ht="27.95" customHeight="1" x14ac:dyDescent="0.25">
      <c r="A15" s="5" t="s">
        <v>15</v>
      </c>
      <c r="B15" s="7">
        <f>'Hosting Options'!J5+'Sarvam Cost Projection'!B31</f>
        <v>4688.8634482758625</v>
      </c>
      <c r="C15" s="8" t="s">
        <v>14</v>
      </c>
    </row>
    <row r="16" spans="1:7" ht="27.95" customHeight="1" x14ac:dyDescent="0.25">
      <c r="A16" s="5" t="s">
        <v>16</v>
      </c>
      <c r="B16" s="7">
        <f>'Sarvam Cost Projection'!B31</f>
        <v>9.1034482758620694</v>
      </c>
      <c r="C16" s="8" t="s">
        <v>17</v>
      </c>
    </row>
    <row r="17" spans="1:3" ht="27.95" customHeight="1" x14ac:dyDescent="0.25">
      <c r="A17" s="5" t="s">
        <v>18</v>
      </c>
      <c r="B17" s="9">
        <f>'Sarvam Cost Projection'!B31/B15</f>
        <v>1.941504242186769E-3</v>
      </c>
      <c r="C17" s="8" t="s">
        <v>19</v>
      </c>
    </row>
    <row r="18" spans="1:3" ht="27.95" customHeight="1" x14ac:dyDescent="0.25">
      <c r="A18" s="5" t="s">
        <v>20</v>
      </c>
      <c r="B18" s="7">
        <f>'Local Model Comparison'!G9</f>
        <v>0</v>
      </c>
      <c r="C18" s="8" t="s">
        <v>21</v>
      </c>
    </row>
    <row r="19" spans="1:3" ht="27.95" customHeight="1" x14ac:dyDescent="0.25">
      <c r="A19" s="5" t="s">
        <v>22</v>
      </c>
      <c r="B19" s="10" t="s">
        <v>23</v>
      </c>
      <c r="C19" s="8" t="s">
        <v>24</v>
      </c>
    </row>
  </sheetData>
  <mergeCells count="5">
    <mergeCell ref="A9:G9"/>
    <mergeCell ref="A8:G8"/>
    <mergeCell ref="A6:G6"/>
    <mergeCell ref="A7:G7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tabSelected="1" topLeftCell="A4" workbookViewId="0">
      <selection activeCell="D6" sqref="D6"/>
    </sheetView>
  </sheetViews>
  <sheetFormatPr defaultRowHeight="15" x14ac:dyDescent="0.25"/>
  <cols>
    <col min="1" max="1" width="26" customWidth="1"/>
    <col min="2" max="4" width="40" customWidth="1"/>
  </cols>
  <sheetData>
    <row r="1" spans="1:4" ht="20.25" x14ac:dyDescent="0.3">
      <c r="A1" s="1" t="s">
        <v>25</v>
      </c>
    </row>
    <row r="2" spans="1:4" ht="67.5" x14ac:dyDescent="0.25">
      <c r="A2" s="2" t="s">
        <v>26</v>
      </c>
    </row>
    <row r="4" spans="1:4" ht="21.95" customHeight="1" x14ac:dyDescent="0.25">
      <c r="A4" s="6" t="s">
        <v>27</v>
      </c>
      <c r="B4" s="6" t="s">
        <v>28</v>
      </c>
      <c r="C4" s="6" t="s">
        <v>29</v>
      </c>
      <c r="D4" s="6" t="s">
        <v>30</v>
      </c>
    </row>
    <row r="5" spans="1:4" ht="60" customHeight="1" x14ac:dyDescent="0.25">
      <c r="A5" s="4" t="s">
        <v>31</v>
      </c>
      <c r="B5" s="5" t="s">
        <v>32</v>
      </c>
      <c r="C5" s="5" t="s">
        <v>33</v>
      </c>
      <c r="D5" s="5" t="s">
        <v>34</v>
      </c>
    </row>
    <row r="6" spans="1:4" ht="60" customHeight="1" x14ac:dyDescent="0.25">
      <c r="A6" s="4" t="s">
        <v>35</v>
      </c>
      <c r="B6" s="5" t="s">
        <v>36</v>
      </c>
      <c r="C6" s="5" t="s">
        <v>37</v>
      </c>
      <c r="D6" s="5" t="s">
        <v>38</v>
      </c>
    </row>
    <row r="7" spans="1:4" ht="60" customHeight="1" x14ac:dyDescent="0.25">
      <c r="A7" s="4" t="s">
        <v>39</v>
      </c>
      <c r="B7" s="7">
        <f>'Sarvam Cost Projection'!B31</f>
        <v>9.1034482758620694</v>
      </c>
      <c r="C7" s="7">
        <f>'Local Model Comparison'!G9</f>
        <v>0</v>
      </c>
      <c r="D7" s="5" t="s">
        <v>40</v>
      </c>
    </row>
    <row r="8" spans="1:4" ht="60" customHeight="1" x14ac:dyDescent="0.25">
      <c r="A8" s="4" t="s">
        <v>41</v>
      </c>
      <c r="B8" s="5" t="s">
        <v>42</v>
      </c>
      <c r="C8" s="5" t="s">
        <v>43</v>
      </c>
      <c r="D8" s="5" t="s">
        <v>44</v>
      </c>
    </row>
    <row r="9" spans="1:4" ht="60" customHeight="1" x14ac:dyDescent="0.25">
      <c r="A9" s="4" t="s">
        <v>45</v>
      </c>
      <c r="B9" s="5" t="s">
        <v>46</v>
      </c>
      <c r="C9" s="5" t="s">
        <v>47</v>
      </c>
      <c r="D9" s="5" t="s">
        <v>48</v>
      </c>
    </row>
    <row r="10" spans="1:4" ht="60" customHeight="1" x14ac:dyDescent="0.25">
      <c r="A10" s="4" t="s">
        <v>49</v>
      </c>
      <c r="B10" s="5" t="s">
        <v>50</v>
      </c>
      <c r="C10" s="5" t="s">
        <v>51</v>
      </c>
      <c r="D10" s="5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showGridLines="0" workbookViewId="0"/>
  </sheetViews>
  <sheetFormatPr defaultRowHeight="15" x14ac:dyDescent="0.25"/>
  <cols>
    <col min="1" max="1" width="66" customWidth="1"/>
    <col min="2" max="2" width="20" customWidth="1"/>
    <col min="3" max="4" width="16" customWidth="1"/>
  </cols>
  <sheetData>
    <row r="1" spans="1:2" ht="20.25" x14ac:dyDescent="0.3">
      <c r="A1" s="1" t="s">
        <v>53</v>
      </c>
    </row>
    <row r="2" spans="1:2" ht="54" x14ac:dyDescent="0.25">
      <c r="A2" s="2" t="s">
        <v>54</v>
      </c>
    </row>
    <row r="4" spans="1:2" ht="15.75" x14ac:dyDescent="0.25">
      <c r="A4" s="3" t="s">
        <v>55</v>
      </c>
    </row>
    <row r="5" spans="1:2" ht="26.1" customHeight="1" x14ac:dyDescent="0.25">
      <c r="A5" s="5" t="s">
        <v>56</v>
      </c>
      <c r="B5" s="11">
        <v>6000</v>
      </c>
    </row>
    <row r="6" spans="1:2" ht="26.1" customHeight="1" x14ac:dyDescent="0.25">
      <c r="A6" s="5" t="s">
        <v>57</v>
      </c>
      <c r="B6" s="11">
        <v>10</v>
      </c>
    </row>
    <row r="7" spans="1:2" ht="26.1" customHeight="1" x14ac:dyDescent="0.25">
      <c r="A7" s="5" t="s">
        <v>58</v>
      </c>
      <c r="B7" s="12">
        <v>0.45</v>
      </c>
    </row>
    <row r="8" spans="1:2" ht="26.1" customHeight="1" x14ac:dyDescent="0.25">
      <c r="A8" s="5" t="s">
        <v>59</v>
      </c>
      <c r="B8" s="12">
        <v>0</v>
      </c>
    </row>
    <row r="9" spans="1:2" ht="26.1" customHeight="1" x14ac:dyDescent="0.25">
      <c r="A9" s="5" t="s">
        <v>60</v>
      </c>
      <c r="B9" s="11">
        <v>1200</v>
      </c>
    </row>
    <row r="10" spans="1:2" ht="26.1" customHeight="1" x14ac:dyDescent="0.25">
      <c r="A10" s="5" t="s">
        <v>61</v>
      </c>
      <c r="B10" s="11">
        <v>300</v>
      </c>
    </row>
    <row r="11" spans="1:2" ht="26.1" customHeight="1" x14ac:dyDescent="0.25">
      <c r="A11" s="5" t="s">
        <v>62</v>
      </c>
      <c r="B11" s="11">
        <v>1400</v>
      </c>
    </row>
    <row r="12" spans="1:2" ht="26.1" customHeight="1" x14ac:dyDescent="0.25">
      <c r="A12" s="5" t="s">
        <v>63</v>
      </c>
      <c r="B12" s="11">
        <v>750</v>
      </c>
    </row>
    <row r="13" spans="1:2" ht="26.1" customHeight="1" x14ac:dyDescent="0.25">
      <c r="A13" s="5" t="s">
        <v>64</v>
      </c>
      <c r="B13" s="13">
        <v>4</v>
      </c>
    </row>
    <row r="14" spans="1:2" ht="26.1" customHeight="1" x14ac:dyDescent="0.25">
      <c r="A14" s="5" t="s">
        <v>65</v>
      </c>
      <c r="B14" s="13">
        <v>2.5</v>
      </c>
    </row>
    <row r="15" spans="1:2" ht="26.1" customHeight="1" x14ac:dyDescent="0.25">
      <c r="A15" s="5" t="s">
        <v>66</v>
      </c>
      <c r="B15" s="13">
        <v>16</v>
      </c>
    </row>
    <row r="16" spans="1:2" ht="26.1" customHeight="1" x14ac:dyDescent="0.25">
      <c r="A16" s="5" t="s">
        <v>67</v>
      </c>
      <c r="B16" s="13">
        <v>2.5</v>
      </c>
    </row>
    <row r="17" spans="1:2" ht="26.1" customHeight="1" x14ac:dyDescent="0.25">
      <c r="A17" s="5" t="s">
        <v>68</v>
      </c>
      <c r="B17" s="13">
        <v>10</v>
      </c>
    </row>
    <row r="18" spans="1:2" ht="26.1" customHeight="1" x14ac:dyDescent="0.25">
      <c r="A18" s="5" t="s">
        <v>69</v>
      </c>
      <c r="B18" s="14">
        <v>87</v>
      </c>
    </row>
    <row r="20" spans="1:2" ht="15.75" x14ac:dyDescent="0.25">
      <c r="A20" s="3" t="s">
        <v>70</v>
      </c>
    </row>
    <row r="21" spans="1:2" x14ac:dyDescent="0.25">
      <c r="A21" s="5" t="s">
        <v>71</v>
      </c>
      <c r="B21" s="15">
        <f>B5*B6</f>
        <v>60000</v>
      </c>
    </row>
    <row r="22" spans="1:2" x14ac:dyDescent="0.25">
      <c r="A22" s="5" t="s">
        <v>72</v>
      </c>
      <c r="B22" s="15">
        <f>B21*(1-B8)</f>
        <v>60000</v>
      </c>
    </row>
    <row r="23" spans="1:2" x14ac:dyDescent="0.25">
      <c r="A23" s="5" t="s">
        <v>73</v>
      </c>
      <c r="B23" s="16">
        <f>B22*(1-B7)</f>
        <v>33000</v>
      </c>
    </row>
    <row r="24" spans="1:2" x14ac:dyDescent="0.25">
      <c r="A24" s="5" t="s">
        <v>74</v>
      </c>
      <c r="B24" s="16">
        <f>B22*B7</f>
        <v>27000</v>
      </c>
    </row>
    <row r="25" spans="1:2" x14ac:dyDescent="0.25">
      <c r="A25" s="5" t="s">
        <v>75</v>
      </c>
      <c r="B25" s="16">
        <f>B23*B9+B24*B11</f>
        <v>77400000</v>
      </c>
    </row>
    <row r="26" spans="1:2" x14ac:dyDescent="0.25">
      <c r="A26" s="5" t="s">
        <v>76</v>
      </c>
      <c r="B26" s="16">
        <f>B23*B10+B24*B12</f>
        <v>30150000</v>
      </c>
    </row>
    <row r="28" spans="1:2" ht="15.75" x14ac:dyDescent="0.25">
      <c r="A28" s="3" t="s">
        <v>77</v>
      </c>
    </row>
    <row r="29" spans="1:2" x14ac:dyDescent="0.25">
      <c r="A29" s="5" t="s">
        <v>78</v>
      </c>
      <c r="B29" s="17">
        <f>(B25/1000000)*B13+(B26/1000000)*B15</f>
        <v>792</v>
      </c>
    </row>
    <row r="30" spans="1:2" x14ac:dyDescent="0.25">
      <c r="A30" s="5" t="s">
        <v>79</v>
      </c>
      <c r="B30" s="17">
        <f>(B25/1000000)*B16+(B26/1000000)*B17</f>
        <v>495</v>
      </c>
    </row>
    <row r="31" spans="1:2" ht="27" x14ac:dyDescent="0.25">
      <c r="A31" s="4" t="s">
        <v>80</v>
      </c>
      <c r="B31" s="18">
        <f>B29/B18</f>
        <v>9.1034482758620694</v>
      </c>
    </row>
    <row r="32" spans="1:2" x14ac:dyDescent="0.25">
      <c r="A32" s="5" t="s">
        <v>81</v>
      </c>
      <c r="B32" s="18">
        <f>B30/B18</f>
        <v>5.6896551724137927</v>
      </c>
    </row>
    <row r="34" spans="1:4" ht="15.75" x14ac:dyDescent="0.25">
      <c r="A34" s="3" t="s">
        <v>82</v>
      </c>
    </row>
    <row r="35" spans="1:4" ht="30" x14ac:dyDescent="0.25">
      <c r="A35" s="6" t="s">
        <v>83</v>
      </c>
      <c r="B35" s="6" t="s">
        <v>84</v>
      </c>
      <c r="C35" s="6" t="s">
        <v>85</v>
      </c>
      <c r="D35" s="6" t="s">
        <v>86</v>
      </c>
    </row>
    <row r="36" spans="1:4" x14ac:dyDescent="0.25">
      <c r="A36" s="19">
        <v>1</v>
      </c>
      <c r="B36" s="16">
        <f>B5*A36*(1-B8)</f>
        <v>6000</v>
      </c>
      <c r="C36" s="17">
        <f>B36*(1-B7)*(B9*B13+B10*B15)/1000000+B36*B7*(B11*B13+B12*B15)/1000000</f>
        <v>79.2</v>
      </c>
      <c r="D36" s="18">
        <f>C36/B18</f>
        <v>0.91034482758620694</v>
      </c>
    </row>
    <row r="37" spans="1:4" x14ac:dyDescent="0.25">
      <c r="A37" s="19">
        <v>3</v>
      </c>
      <c r="B37" s="16">
        <f>B5*A37*(1-B8)</f>
        <v>18000</v>
      </c>
      <c r="C37" s="17">
        <f>B37*(1-B7)*(B9*B13+B10*B15)/1000000+B37*B7*(B11*B13+B12*B15)/1000000</f>
        <v>237.60000000000002</v>
      </c>
      <c r="D37" s="18">
        <f>C37/B18</f>
        <v>2.7310344827586208</v>
      </c>
    </row>
    <row r="38" spans="1:4" x14ac:dyDescent="0.25">
      <c r="A38" s="19">
        <v>5</v>
      </c>
      <c r="B38" s="16">
        <f>B5*A38*(1-B8)</f>
        <v>30000</v>
      </c>
      <c r="C38" s="17">
        <f>B38*(1-B7)*(B9*B13+B10*B15)/1000000+B38*B7*(B11*B13+B12*B15)/1000000</f>
        <v>396</v>
      </c>
      <c r="D38" s="18">
        <f>C38/B18</f>
        <v>4.5517241379310347</v>
      </c>
    </row>
    <row r="39" spans="1:4" x14ac:dyDescent="0.25">
      <c r="A39" s="19">
        <v>10</v>
      </c>
      <c r="B39" s="16">
        <f>B5*A39*(1-B8)</f>
        <v>60000</v>
      </c>
      <c r="C39" s="17">
        <f>B39*(1-B7)*(B9*B13+B10*B15)/1000000+B39*B7*(B11*B13+B12*B15)/1000000</f>
        <v>792</v>
      </c>
      <c r="D39" s="18">
        <f>C39/B18</f>
        <v>9.1034482758620694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workbookViewId="0"/>
  </sheetViews>
  <sheetFormatPr defaultRowHeight="15" x14ac:dyDescent="0.25"/>
  <cols>
    <col min="1" max="1" width="26" customWidth="1"/>
    <col min="2" max="2" width="12" customWidth="1"/>
    <col min="3" max="3" width="14" customWidth="1"/>
    <col min="4" max="4" width="20" customWidth="1"/>
    <col min="5" max="5" width="24" customWidth="1"/>
    <col min="6" max="7" width="14" customWidth="1"/>
    <col min="8" max="9" width="20" customWidth="1"/>
    <col min="10" max="10" width="26" customWidth="1"/>
    <col min="11" max="11" width="40" customWidth="1"/>
  </cols>
  <sheetData>
    <row r="1" spans="1:11" ht="20.25" x14ac:dyDescent="0.3">
      <c r="A1" s="1" t="s">
        <v>87</v>
      </c>
    </row>
    <row r="2" spans="1:11" ht="121.5" x14ac:dyDescent="0.25">
      <c r="A2" s="2" t="s">
        <v>88</v>
      </c>
    </row>
    <row r="4" spans="1:11" ht="30" customHeight="1" x14ac:dyDescent="0.25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96</v>
      </c>
      <c r="I4" s="6" t="s">
        <v>97</v>
      </c>
      <c r="J4" s="6" t="s">
        <v>98</v>
      </c>
      <c r="K4" s="6" t="s">
        <v>99</v>
      </c>
    </row>
    <row r="5" spans="1:11" ht="45.95" customHeight="1" x14ac:dyDescent="0.25">
      <c r="A5" s="4" t="s">
        <v>100</v>
      </c>
      <c r="B5" s="20">
        <v>2</v>
      </c>
      <c r="C5" s="20">
        <v>2</v>
      </c>
      <c r="D5" s="5" t="s">
        <v>43</v>
      </c>
      <c r="E5" s="5" t="s">
        <v>101</v>
      </c>
      <c r="F5" s="7">
        <f>'Hosting Options'!I5</f>
        <v>389.98</v>
      </c>
      <c r="G5" s="10">
        <v>0</v>
      </c>
      <c r="H5" s="5" t="s">
        <v>102</v>
      </c>
      <c r="I5" s="5" t="s">
        <v>102</v>
      </c>
      <c r="J5" s="5" t="s">
        <v>103</v>
      </c>
      <c r="K5" s="5" t="s">
        <v>104</v>
      </c>
    </row>
    <row r="6" spans="1:11" ht="45.95" customHeight="1" x14ac:dyDescent="0.25">
      <c r="A6" s="4" t="s">
        <v>105</v>
      </c>
      <c r="B6" s="20">
        <v>2</v>
      </c>
      <c r="C6" s="20">
        <v>2</v>
      </c>
      <c r="D6" s="5" t="s">
        <v>43</v>
      </c>
      <c r="E6" s="5" t="s">
        <v>101</v>
      </c>
      <c r="F6" s="7">
        <f>'Hosting Options'!I5</f>
        <v>389.98</v>
      </c>
      <c r="G6" s="10">
        <v>0</v>
      </c>
      <c r="H6" s="5" t="s">
        <v>106</v>
      </c>
      <c r="I6" s="5" t="s">
        <v>106</v>
      </c>
      <c r="J6" s="5" t="s">
        <v>107</v>
      </c>
      <c r="K6" s="5" t="s">
        <v>108</v>
      </c>
    </row>
    <row r="7" spans="1:11" ht="45.95" customHeight="1" x14ac:dyDescent="0.25">
      <c r="A7" s="4" t="s">
        <v>109</v>
      </c>
      <c r="B7" s="20">
        <v>7</v>
      </c>
      <c r="C7" s="20">
        <v>7</v>
      </c>
      <c r="D7" s="5" t="s">
        <v>43</v>
      </c>
      <c r="E7" s="5" t="s">
        <v>101</v>
      </c>
      <c r="F7" s="7">
        <f>'Hosting Options'!I5</f>
        <v>389.98</v>
      </c>
      <c r="G7" s="10">
        <v>0</v>
      </c>
      <c r="H7" s="5" t="s">
        <v>110</v>
      </c>
      <c r="I7" s="5" t="s">
        <v>111</v>
      </c>
      <c r="J7" s="5" t="s">
        <v>112</v>
      </c>
      <c r="K7" s="5" t="s">
        <v>113</v>
      </c>
    </row>
    <row r="8" spans="1:11" ht="45.95" customHeight="1" x14ac:dyDescent="0.25">
      <c r="A8" s="4" t="s">
        <v>114</v>
      </c>
      <c r="B8" s="20">
        <v>8</v>
      </c>
      <c r="C8" s="20">
        <v>7</v>
      </c>
      <c r="D8" s="5" t="s">
        <v>43</v>
      </c>
      <c r="E8" s="5" t="s">
        <v>101</v>
      </c>
      <c r="F8" s="7">
        <f>'Hosting Options'!I5</f>
        <v>389.98</v>
      </c>
      <c r="G8" s="10">
        <v>0</v>
      </c>
      <c r="H8" s="5" t="s">
        <v>115</v>
      </c>
      <c r="I8" s="5" t="s">
        <v>115</v>
      </c>
      <c r="J8" s="5" t="s">
        <v>116</v>
      </c>
      <c r="K8" s="5" t="s">
        <v>117</v>
      </c>
    </row>
    <row r="9" spans="1:11" ht="45.95" customHeight="1" x14ac:dyDescent="0.25">
      <c r="A9" s="4" t="s">
        <v>118</v>
      </c>
      <c r="B9" s="20">
        <v>8</v>
      </c>
      <c r="C9" s="20">
        <v>7</v>
      </c>
      <c r="D9" s="5" t="s">
        <v>43</v>
      </c>
      <c r="E9" s="5" t="s">
        <v>101</v>
      </c>
      <c r="F9" s="7">
        <f>'Hosting Options'!I5</f>
        <v>389.98</v>
      </c>
      <c r="G9" s="10">
        <v>0</v>
      </c>
      <c r="H9" s="5" t="s">
        <v>115</v>
      </c>
      <c r="I9" s="5" t="s">
        <v>115</v>
      </c>
      <c r="J9" s="5" t="s">
        <v>119</v>
      </c>
      <c r="K9" s="5" t="s">
        <v>120</v>
      </c>
    </row>
    <row r="10" spans="1:11" ht="45.95" customHeight="1" x14ac:dyDescent="0.25">
      <c r="A10" s="4" t="s">
        <v>121</v>
      </c>
      <c r="B10" s="20">
        <v>14</v>
      </c>
      <c r="C10" s="20">
        <v>11</v>
      </c>
      <c r="D10" s="5" t="s">
        <v>122</v>
      </c>
      <c r="E10" s="5" t="s">
        <v>123</v>
      </c>
      <c r="F10" s="7">
        <f>'Hosting Options'!I6</f>
        <v>593.65000000000009</v>
      </c>
      <c r="G10" s="7">
        <f>'Hosting Options'!I6-'Hosting Options'!I5</f>
        <v>203.67000000000007</v>
      </c>
      <c r="H10" s="5" t="s">
        <v>124</v>
      </c>
      <c r="I10" s="5" t="s">
        <v>124</v>
      </c>
      <c r="J10" s="5" t="s">
        <v>119</v>
      </c>
      <c r="K10" s="5" t="s">
        <v>125</v>
      </c>
    </row>
    <row r="11" spans="1:11" ht="45.95" customHeight="1" x14ac:dyDescent="0.25">
      <c r="A11" s="4" t="s">
        <v>126</v>
      </c>
      <c r="B11" s="20">
        <v>105</v>
      </c>
      <c r="C11" s="20">
        <v>58</v>
      </c>
      <c r="D11" s="5" t="s">
        <v>127</v>
      </c>
      <c r="E11" s="5" t="s">
        <v>128</v>
      </c>
      <c r="F11" s="5" t="s">
        <v>129</v>
      </c>
      <c r="G11" s="5" t="s">
        <v>129</v>
      </c>
      <c r="H11" s="5" t="s">
        <v>130</v>
      </c>
      <c r="I11" s="5" t="s">
        <v>131</v>
      </c>
      <c r="J11" s="5" t="s">
        <v>119</v>
      </c>
      <c r="K11" s="5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showGridLines="0" workbookViewId="0"/>
  </sheetViews>
  <sheetFormatPr defaultRowHeight="15" x14ac:dyDescent="0.25"/>
  <cols>
    <col min="1" max="1" width="30" customWidth="1"/>
    <col min="2" max="2" width="14" customWidth="1"/>
    <col min="3" max="3" width="16" customWidth="1"/>
    <col min="4" max="4" width="20" customWidth="1"/>
    <col min="5" max="5" width="16" customWidth="1"/>
    <col min="6" max="6" width="10" customWidth="1"/>
    <col min="7" max="8" width="13" customWidth="1"/>
    <col min="9" max="10" width="12" customWidth="1"/>
    <col min="11" max="11" width="42" customWidth="1"/>
  </cols>
  <sheetData>
    <row r="1" spans="1:11" ht="20.25" x14ac:dyDescent="0.3">
      <c r="A1" s="1" t="s">
        <v>133</v>
      </c>
    </row>
    <row r="2" spans="1:11" ht="94.5" x14ac:dyDescent="0.25">
      <c r="A2" s="2" t="s">
        <v>134</v>
      </c>
    </row>
    <row r="4" spans="1:11" ht="21.95" customHeight="1" x14ac:dyDescent="0.25">
      <c r="A4" s="6" t="s">
        <v>135</v>
      </c>
      <c r="B4" s="6" t="s">
        <v>136</v>
      </c>
      <c r="C4" s="6" t="s">
        <v>137</v>
      </c>
      <c r="D4" s="6" t="s">
        <v>138</v>
      </c>
      <c r="E4" s="6" t="s">
        <v>139</v>
      </c>
      <c r="F4" s="6" t="s">
        <v>140</v>
      </c>
      <c r="G4" s="6" t="s">
        <v>141</v>
      </c>
      <c r="H4" s="6" t="s">
        <v>142</v>
      </c>
      <c r="I4" s="6" t="s">
        <v>143</v>
      </c>
      <c r="J4" s="6" t="s">
        <v>144</v>
      </c>
      <c r="K4" s="6" t="s">
        <v>99</v>
      </c>
    </row>
    <row r="5" spans="1:11" ht="57.95" customHeight="1" x14ac:dyDescent="0.25">
      <c r="A5" s="4" t="s">
        <v>145</v>
      </c>
      <c r="B5" s="5" t="s">
        <v>146</v>
      </c>
      <c r="C5" s="5" t="s">
        <v>147</v>
      </c>
      <c r="D5" s="5" t="s">
        <v>148</v>
      </c>
      <c r="E5" s="5" t="s">
        <v>149</v>
      </c>
      <c r="F5" s="21">
        <v>0.52600000000000002</v>
      </c>
      <c r="G5" s="18">
        <f>F5*730</f>
        <v>383.98</v>
      </c>
      <c r="H5" s="22">
        <v>6</v>
      </c>
      <c r="I5" s="18">
        <f>G5+H5</f>
        <v>389.98</v>
      </c>
      <c r="J5" s="23">
        <f>I5*12</f>
        <v>4679.76</v>
      </c>
      <c r="K5" s="8" t="s">
        <v>150</v>
      </c>
    </row>
    <row r="6" spans="1:11" ht="57.95" customHeight="1" x14ac:dyDescent="0.25">
      <c r="A6" s="4" t="s">
        <v>151</v>
      </c>
      <c r="B6" s="5" t="s">
        <v>152</v>
      </c>
      <c r="C6" s="5" t="s">
        <v>147</v>
      </c>
      <c r="D6" s="5" t="s">
        <v>153</v>
      </c>
      <c r="E6" s="5" t="s">
        <v>149</v>
      </c>
      <c r="F6" s="21">
        <v>0.80500000000000005</v>
      </c>
      <c r="G6" s="18">
        <f>F6*730</f>
        <v>587.65000000000009</v>
      </c>
      <c r="H6" s="22">
        <v>6</v>
      </c>
      <c r="I6" s="18">
        <f>G6+H6</f>
        <v>593.65000000000009</v>
      </c>
      <c r="J6" s="23">
        <f>I6*12</f>
        <v>7123.8000000000011</v>
      </c>
      <c r="K6" s="8" t="s">
        <v>154</v>
      </c>
    </row>
    <row r="7" spans="1:11" ht="57.95" customHeight="1" x14ac:dyDescent="0.25">
      <c r="A7" s="4" t="s">
        <v>155</v>
      </c>
      <c r="B7" s="5" t="s">
        <v>156</v>
      </c>
      <c r="C7" s="5" t="s">
        <v>147</v>
      </c>
      <c r="D7" s="5" t="s">
        <v>157</v>
      </c>
      <c r="E7" s="5" t="s">
        <v>149</v>
      </c>
      <c r="F7" s="21">
        <v>1.006</v>
      </c>
      <c r="G7" s="18">
        <f>F7*730</f>
        <v>734.38</v>
      </c>
      <c r="H7" s="22">
        <v>6</v>
      </c>
      <c r="I7" s="18">
        <f>G7+H7</f>
        <v>740.38</v>
      </c>
      <c r="J7" s="23">
        <f>I7*12</f>
        <v>8884.56</v>
      </c>
      <c r="K7" s="8" t="s">
        <v>158</v>
      </c>
    </row>
    <row r="8" spans="1:11" ht="57.95" customHeight="1" x14ac:dyDescent="0.25">
      <c r="A8" s="4" t="s">
        <v>159</v>
      </c>
      <c r="B8" s="5" t="s">
        <v>160</v>
      </c>
      <c r="C8" s="5" t="s">
        <v>161</v>
      </c>
      <c r="D8" s="5" t="s">
        <v>162</v>
      </c>
      <c r="E8" s="5" t="s">
        <v>163</v>
      </c>
      <c r="F8" s="21">
        <v>0.34100000000000003</v>
      </c>
      <c r="G8" s="18">
        <f>F8*730</f>
        <v>248.93</v>
      </c>
      <c r="H8" s="22">
        <v>3.2</v>
      </c>
      <c r="I8" s="18">
        <f>G8+H8</f>
        <v>252.13</v>
      </c>
      <c r="J8" s="23">
        <f>I8*12</f>
        <v>3025.56</v>
      </c>
      <c r="K8" s="8" t="s">
        <v>164</v>
      </c>
    </row>
    <row r="9" spans="1:11" ht="57.95" customHeight="1" x14ac:dyDescent="0.25">
      <c r="A9" s="4" t="s">
        <v>165</v>
      </c>
      <c r="B9" s="5" t="s">
        <v>166</v>
      </c>
      <c r="C9" s="5" t="s">
        <v>167</v>
      </c>
      <c r="D9" s="5" t="s">
        <v>168</v>
      </c>
      <c r="E9" s="5" t="s">
        <v>169</v>
      </c>
      <c r="F9" s="21">
        <v>2.0799999999999999E-2</v>
      </c>
      <c r="G9" s="18">
        <f>F9*730</f>
        <v>15.183999999999999</v>
      </c>
      <c r="H9" s="22">
        <v>0.8</v>
      </c>
      <c r="I9" s="18">
        <f>G9+H9</f>
        <v>15.984</v>
      </c>
      <c r="J9" s="23">
        <f>I9*12</f>
        <v>191.80799999999999</v>
      </c>
      <c r="K9" s="8" t="s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showGridLines="0" workbookViewId="0"/>
  </sheetViews>
  <sheetFormatPr defaultRowHeight="15" x14ac:dyDescent="0.25"/>
  <cols>
    <col min="1" max="1" width="32" customWidth="1"/>
    <col min="2" max="6" width="22" customWidth="1"/>
  </cols>
  <sheetData>
    <row r="1" spans="1:6" ht="20.25" x14ac:dyDescent="0.3">
      <c r="A1" s="1" t="s">
        <v>171</v>
      </c>
    </row>
    <row r="2" spans="1:6" ht="40.5" x14ac:dyDescent="0.25">
      <c r="A2" s="2" t="s">
        <v>172</v>
      </c>
    </row>
    <row r="4" spans="1:6" ht="69.95" customHeight="1" x14ac:dyDescent="0.25">
      <c r="A4" s="26" t="s">
        <v>173</v>
      </c>
      <c r="B4" s="24" t="s">
        <v>174</v>
      </c>
      <c r="C4" s="25"/>
      <c r="D4" s="25"/>
      <c r="E4" s="25"/>
      <c r="F4" s="25"/>
    </row>
    <row r="6" spans="1:6" ht="69.95" customHeight="1" x14ac:dyDescent="0.25">
      <c r="A6" s="26" t="s">
        <v>175</v>
      </c>
      <c r="B6" s="24" t="s">
        <v>176</v>
      </c>
      <c r="C6" s="25"/>
      <c r="D6" s="25"/>
      <c r="E6" s="25"/>
      <c r="F6" s="25"/>
    </row>
    <row r="8" spans="1:6" ht="69.95" customHeight="1" x14ac:dyDescent="0.25">
      <c r="A8" s="26" t="s">
        <v>177</v>
      </c>
      <c r="B8" s="24" t="s">
        <v>178</v>
      </c>
      <c r="C8" s="25"/>
      <c r="D8" s="25"/>
      <c r="E8" s="25"/>
      <c r="F8" s="25"/>
    </row>
    <row r="10" spans="1:6" ht="69.95" customHeight="1" x14ac:dyDescent="0.25">
      <c r="A10" s="26" t="s">
        <v>179</v>
      </c>
      <c r="B10" s="24" t="s">
        <v>180</v>
      </c>
      <c r="C10" s="25"/>
      <c r="D10" s="25"/>
      <c r="E10" s="25"/>
      <c r="F10" s="25"/>
    </row>
    <row r="12" spans="1:6" ht="69.95" customHeight="1" x14ac:dyDescent="0.25">
      <c r="A12" s="26" t="s">
        <v>181</v>
      </c>
      <c r="B12" s="24" t="s">
        <v>182</v>
      </c>
      <c r="C12" s="25"/>
      <c r="D12" s="25"/>
      <c r="E12" s="25"/>
      <c r="F12" s="25"/>
    </row>
    <row r="14" spans="1:6" ht="69.95" customHeight="1" x14ac:dyDescent="0.25">
      <c r="A14" s="26" t="s">
        <v>183</v>
      </c>
      <c r="B14" s="24" t="s">
        <v>184</v>
      </c>
      <c r="C14" s="25"/>
      <c r="D14" s="25"/>
      <c r="E14" s="25"/>
      <c r="F14" s="25"/>
    </row>
    <row r="16" spans="1:6" ht="69.95" customHeight="1" x14ac:dyDescent="0.25">
      <c r="A16" s="26" t="s">
        <v>185</v>
      </c>
      <c r="B16" s="24" t="s">
        <v>186</v>
      </c>
      <c r="C16" s="25"/>
      <c r="D16" s="25"/>
      <c r="E16" s="25"/>
      <c r="F16" s="25"/>
    </row>
    <row r="18" spans="1:6" ht="69.95" customHeight="1" x14ac:dyDescent="0.25">
      <c r="A18" s="26" t="s">
        <v>187</v>
      </c>
      <c r="B18" s="24" t="s">
        <v>188</v>
      </c>
      <c r="C18" s="25"/>
      <c r="D18" s="25"/>
      <c r="E18" s="25"/>
      <c r="F18" s="25"/>
    </row>
    <row r="20" spans="1:6" ht="69.95" customHeight="1" x14ac:dyDescent="0.25">
      <c r="A20" s="26" t="s">
        <v>189</v>
      </c>
      <c r="B20" s="24" t="s">
        <v>190</v>
      </c>
      <c r="C20" s="25"/>
      <c r="D20" s="25"/>
      <c r="E20" s="25"/>
      <c r="F20" s="25"/>
    </row>
    <row r="22" spans="1:6" ht="69.95" customHeight="1" x14ac:dyDescent="0.25">
      <c r="A22" s="26" t="s">
        <v>191</v>
      </c>
      <c r="B22" s="24" t="s">
        <v>192</v>
      </c>
      <c r="C22" s="25"/>
      <c r="D22" s="25"/>
      <c r="E22" s="25"/>
      <c r="F22" s="25"/>
    </row>
    <row r="24" spans="1:6" ht="69.95" customHeight="1" x14ac:dyDescent="0.25">
      <c r="A24" s="26" t="s">
        <v>193</v>
      </c>
      <c r="B24" s="24" t="s">
        <v>194</v>
      </c>
      <c r="C24" s="25"/>
      <c r="D24" s="25"/>
      <c r="E24" s="25"/>
      <c r="F24" s="25"/>
    </row>
    <row r="26" spans="1:6" ht="69.95" customHeight="1" x14ac:dyDescent="0.25">
      <c r="A26" s="26" t="s">
        <v>195</v>
      </c>
      <c r="B26" s="24" t="s">
        <v>196</v>
      </c>
      <c r="C26" s="25"/>
      <c r="D26" s="25"/>
      <c r="E26" s="25"/>
      <c r="F26" s="25"/>
    </row>
    <row r="28" spans="1:6" ht="69.95" customHeight="1" x14ac:dyDescent="0.25">
      <c r="A28" s="26" t="s">
        <v>197</v>
      </c>
      <c r="B28" s="24" t="s">
        <v>198</v>
      </c>
      <c r="C28" s="25"/>
      <c r="D28" s="25"/>
      <c r="E28" s="25"/>
      <c r="F28" s="25"/>
    </row>
  </sheetData>
  <mergeCells count="26">
    <mergeCell ref="A28"/>
    <mergeCell ref="B18:F18"/>
    <mergeCell ref="B12:F12"/>
    <mergeCell ref="A24"/>
    <mergeCell ref="B14:F14"/>
    <mergeCell ref="B28:F28"/>
    <mergeCell ref="A16"/>
    <mergeCell ref="A12"/>
    <mergeCell ref="A18"/>
    <mergeCell ref="B20:F20"/>
    <mergeCell ref="B24:F24"/>
    <mergeCell ref="A26"/>
    <mergeCell ref="A14"/>
    <mergeCell ref="B26:F26"/>
    <mergeCell ref="B4:F4"/>
    <mergeCell ref="A8"/>
    <mergeCell ref="A22"/>
    <mergeCell ref="A4"/>
    <mergeCell ref="B16:F16"/>
    <mergeCell ref="A20"/>
    <mergeCell ref="A10"/>
    <mergeCell ref="B22:F22"/>
    <mergeCell ref="B8:F8"/>
    <mergeCell ref="A6"/>
    <mergeCell ref="B10:F10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Recommendation</vt:lpstr>
      <vt:lpstr>Path Comparison</vt:lpstr>
      <vt:lpstr>Sarvam Cost Projection</vt:lpstr>
      <vt:lpstr>Local Model Comparison</vt:lpstr>
      <vt:lpstr>Hosting Options</vt:lpstr>
      <vt:lpstr>Assumptions &amp; Sources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2026-07-30T05:44:22Z</dcterms:created>
  <dcterms:modified xsi:type="dcterms:W3CDTF">2026-07-30T10:10:05Z</dcterms:modified>
</cp:coreProperties>
</file>