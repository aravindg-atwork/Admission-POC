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I Assissant POC\docs\"/>
    </mc:Choice>
  </mc:AlternateContent>
  <bookViews>
    <workbookView xWindow="0" yWindow="0" windowWidth="24000" windowHeight="9615"/>
  </bookViews>
  <sheets>
    <sheet name="Browser Extension" sheetId="1" r:id="rId1"/>
  </sheets>
  <calcPr calcId="152511"/>
</workbook>
</file>

<file path=xl/calcChain.xml><?xml version="1.0" encoding="utf-8"?>
<calcChain xmlns="http://schemas.openxmlformats.org/spreadsheetml/2006/main">
  <c r="C46" i="1" l="1"/>
  <c r="C33" i="1"/>
  <c r="C32" i="1"/>
  <c r="E28" i="1"/>
  <c r="G28" i="1" s="1"/>
  <c r="G27" i="1"/>
  <c r="E27" i="1"/>
  <c r="F27" i="1" s="1"/>
  <c r="E26" i="1"/>
  <c r="G26" i="1" s="1"/>
  <c r="E25" i="1"/>
  <c r="E36" i="1" s="1"/>
  <c r="F36" i="1" s="1"/>
  <c r="F28" i="1" l="1"/>
  <c r="F26" i="1"/>
  <c r="F25" i="1"/>
  <c r="G25" i="1"/>
  <c r="C47" i="1" l="1"/>
</calcChain>
</file>

<file path=xl/sharedStrings.xml><?xml version="1.0" encoding="utf-8"?>
<sst xmlns="http://schemas.openxmlformats.org/spreadsheetml/2006/main" count="116" uniqueCount="105">
  <si>
    <t>OrderAssist Browser Extension — Workflow &amp; Infra Cost</t>
  </si>
  <si>
    <t>Catalogue-matching Chrome extension only. What happens on a Send click, the model behind each step, and what it costs to run in production. Excludes the admission bot entirely.</t>
  </si>
  <si>
    <t>Workflow — what happens on a Send click</t>
  </si>
  <si>
    <t>#</t>
  </si>
  <si>
    <t>Step</t>
  </si>
  <si>
    <t>What happens</t>
  </si>
  <si>
    <t>Model / resource</t>
  </si>
  <si>
    <t>Where it runs</t>
  </si>
  <si>
    <t>Cost</t>
  </si>
  <si>
    <t>Data capture (page load)</t>
  </si>
  <si>
    <t>interceptor.js watches OrderAssist’s own page fetches for the quotation JSON and captures each line item before the user does anything.</t>
  </si>
  <si>
    <t>—</t>
  </si>
  <si>
    <t>Client (page, MAIN world)</t>
  </si>
  <si>
    <t>₹0</t>
  </si>
  <si>
    <t>Rep clicks Send</t>
  </si>
  <si>
    <t>content.js intercepts the click, shows a "Checking catalogue…" spinner, and sends the captured quotation text to the background service worker.</t>
  </si>
  <si>
    <t>Client (extension)</t>
  </si>
  <si>
    <t>List + match</t>
  </si>
  <si>
    <t>Background worker lists the Drive catalogue folder, OCRs any new files (cached), then calls POST /api/catalogue/match to rank brochures by similarity to the quotation.</t>
  </si>
  <si>
    <t>nomic-embed-text (embedding-service)</t>
  </si>
  <si>
    <t>Self-hosted (Docker), backend</t>
  </si>
  <si>
    <t>Match banner shown</t>
  </si>
  <si>
    <t>A picker banner lists candidate brochures with checkboxes; rep can Attach &amp; Send, Skip (with an optional note), or Cancel.</t>
  </si>
  <si>
    <t>Client</t>
  </si>
  <si>
    <t>Complementary suggestion (parallel, non-blocking)</t>
  </si>
  <si>
    <t>POST /api/catalogue/complementary suggests "often paired with" items and appends them to the already-open banner without blocking it.</t>
  </si>
  <si>
    <t>Ollama gemma2:2b, allow_cloud=False (forced local)</t>
  </si>
  <si>
    <t>Self-hosted (local), backend</t>
  </si>
  <si>
    <t>On Attach &amp; Send</t>
  </si>
  <si>
    <t>POST /api/catalogue/note generates the email note (cached by quotation + matched items — a cache hit skips the LLM call entirely) while matched files download from Drive in parallel.</t>
  </si>
  <si>
    <t>Ollama gemma2:2b, allow_cloud=False + Google Drive API</t>
  </si>
  <si>
    <t>Self-hosted (local) / Google-hosted, free tier</t>
  </si>
  <si>
    <t>DOM injection + resend</t>
  </si>
  <si>
    <t>The generated note is injected into the compose body, files are attached (or downloaded manually if none found), and the original Send click is re-dispatched. A 5-second re-check re-injects the note if OrderAssist’s own React re-render wipes it.</t>
  </si>
  <si>
    <t>Current model, end to end</t>
  </si>
  <si>
    <t>Catalogue matching (embeddings)</t>
  </si>
  <si>
    <t>nomic-embed-text</t>
  </si>
  <si>
    <t>Self-hosted (Docker)</t>
  </si>
  <si>
    <t>Complementary suggestion + note generation</t>
  </si>
  <si>
    <t>Ollama gemma2:2b</t>
  </si>
  <si>
    <t>Self-hosted (local), allow_cloud=False — never calls Sarvam for this flow</t>
  </si>
  <si>
    <t>File download / attach</t>
  </si>
  <si>
    <t>Google Drive API</t>
  </si>
  <si>
    <t>Google-hosted, free-tier quota</t>
  </si>
  <si>
    <t>External API cost per Send click</t>
  </si>
  <si>
    <t>Every model in this flow is self-hosted — no paid cloud API is ever called</t>
  </si>
  <si>
    <t>FX rate used below</t>
  </si>
  <si>
    <t>USD → INR</t>
  </si>
  <si>
    <t>Source: Xe / exchangerates.org.uk, spot rate 2026-07-28</t>
  </si>
  <si>
    <t>Server / infra cost (recurring)</t>
  </si>
  <si>
    <t>Provider</t>
  </si>
  <si>
    <t>Spec</t>
  </si>
  <si>
    <t>Compute $/mo</t>
  </si>
  <si>
    <t>Storage $/mo</t>
  </si>
  <si>
    <t>Total $/mo</t>
  </si>
  <si>
    <t>Total ₹/mo</t>
  </si>
  <si>
    <t>Total ₹/year</t>
  </si>
  <si>
    <t>Notes</t>
  </si>
  <si>
    <t>Hetzner Cloud — CPX32</t>
  </si>
  <si>
    <t>4 vCPU / 8 GB, 160 GB NVMe (bundled)</t>
  </si>
  <si>
    <t>Live pricing page, confirmed 2026-07-29 (EUR 35.99/mo, converted at ~1.09 EUR/USD)</t>
  </si>
  <si>
    <t>DigitalOcean — General Purpose 8GB</t>
  </si>
  <si>
    <t>2 vCPU / 8 GB, storage bundled</t>
  </si>
  <si>
    <t>$36–$48/mo range reported by search; midpoint used, not confirmed against DO’s own pricing page</t>
  </si>
  <si>
    <t>AWS EC2 t3.large + EBS gp3</t>
  </si>
  <si>
    <t>2 vCPU / 8 GB + 40 GB gp3</t>
  </si>
  <si>
    <t>us-east-1 on-demand; gp3 storage billed separately at $0.08/GB/mo</t>
  </si>
  <si>
    <t>GCP e2-standard-2 + Persistent Disk</t>
  </si>
  <si>
    <t>2 vCPU / 8 GB + 40 GB pd-balanced</t>
  </si>
  <si>
    <t>us-central1 on-demand; pd-balanced storage billed separately, approximated at $0.11/GB/mo</t>
  </si>
  <si>
    <t>One-time setup costs</t>
  </si>
  <si>
    <t>Item</t>
  </si>
  <si>
    <t>Cost $</t>
  </si>
  <si>
    <t>Cost ₹</t>
  </si>
  <si>
    <t>Chrome Web Store developer registration (one-time, ever — covers the whole catalog of extensions)</t>
  </si>
  <si>
    <t>Domain name (optional, renews annually — only needed for a real hostname instead of a bare IP)</t>
  </si>
  <si>
    <t>Total, first year (cheapest host — Hetzner)</t>
  </si>
  <si>
    <t>Total $, first year</t>
  </si>
  <si>
    <t>Local LLM (current) vs. paid cloud APIs — for complementary suggestion + note generation only</t>
  </si>
  <si>
    <t>Scope: the two Ollama gemma2:2b calls in this flow (matching stays on the self-hosted embedding service regardless — none of these providers sell a drop-in replacement for it). Token counts are ESTIMATED (not measured) input/output splits of the already-documented 350/450 tokens-per-call totals from orderassist-extension-cost-breakdown.xlsx.</t>
  </si>
  <si>
    <t>Tokens/call — complementary suggestion, input / output (estimated)</t>
  </si>
  <si>
    <t>Tokens/call — note generation, input / output (estimated)</t>
  </si>
  <si>
    <t>Sends/month — low volume (this extension’s actual current scale: a few reps, dozens/day)</t>
  </si>
  <si>
    <t>Sends/month — high volume (reference scenario, not this extension’s current traffic)</t>
  </si>
  <si>
    <t>Hetzner CPX22 (2 vCPU / 4 GB) — the box size this extension could drop to if Ollama is removed entirely</t>
  </si>
  <si>
    <t>€19.99/mo, same EUR→USD conversion as CPX32 above. Only valid if Ollama’s ~2–3 GB RAM footprint is truly freed — not load-tested.</t>
  </si>
  <si>
    <t>Server saving if downsized (current CPX32 ₹/yr minus CPX22 ₹/yr)</t>
  </si>
  <si>
    <t>Model</t>
  </si>
  <si>
    <t>Input $/1M (native)</t>
  </si>
  <si>
    <t>Output $/1M (native)</t>
  </si>
  <si>
    <t>Advantages</t>
  </si>
  <si>
    <t>Disadvantages</t>
  </si>
  <si>
    <t>Ollama gemma2:2b (local, current)</t>
  </si>
  <si>
    <t>₹0 marginal cost at any volume; no data leaves the box; works with no internet; already proven in production for this flow</t>
  </si>
  <si>
    <t>~12.6s note generation vs. ~4.6s cloud (measured); box must keep enough RAM to host the model, capping how far it can be downsized</t>
  </si>
  <si>
    <t>Sarvam sarvam-105b (cloud)</t>
  </si>
  <si>
    <t>Cheapest cloud option by far (13–25x under Gemini/OpenAI); ~4.6s vs. ~12.6s local (measured); frees hosting RAM; same vendor already used by the admission bot, one relationship to manage</t>
  </si>
  <si>
    <t>Quotation text + item names leave the box to Sarvam’s cloud; adds a (small) internet/vendor dependency</t>
  </si>
  <si>
    <t>Google Gemini 3.5 Flash-Lite (cloud)</t>
  </si>
  <si>
    <t>Mainstream provider, broad tooling/ecosystem; frees hosting RAM; latency likely comparable to Sarvam (not measured in this project)</t>
  </si>
  <si>
    <t>14x pricier than Sarvam per call; data leaves the box to Google Cloud; a second cloud vendor the org doesn’t already use elsewhere here; cheaper 2.5 Flash-Lite tier is being retired 2026-10-16</t>
  </si>
  <si>
    <t>OpenAI GPT-5.4 Mini (cloud)</t>
  </si>
  <si>
    <t>Mainstream provider, broad tooling/ecosystem; frees hosting RAM</t>
  </si>
  <si>
    <t>Most expensive of the three cloud options (26x Sarvam per call); at high volume the API cost can exceed the hosting saving it enables (see Net column); data leaves the box to OpenAI; GPT-4o-mini/GPT-5-mini were already deprecated once, this tier isn’t guaranteed to stay cheap</t>
  </si>
  <si>
    <t>Bottom line: Sarvam nets the largest saving at every volume level (server downsize minus its own tiny API cost). Gemini also stays net-positive but with a much thinner margin at high volume. OpenAI is the only option where high-volume API cost can exceed the hosting saving it unlocks — check the Net columns before committing to it at scale. At this extension’s actual current low-volume traffic, none of this is urgent: staying local costs ₹0 and the only real cost is ≈12.6s vs. ≈4.6s wait per note (measured). If reps start complaining about the wait, Sarvam is the option to test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</si>
</sst>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;\(&quot;$&quot;#,##0.00\);\-"/>
    <numFmt numFmtId="165" formatCode="&quot;₹&quot;#,##0;\(&quot;₹&quot;#,##0\);\-"/>
    <numFmt numFmtId="166" formatCode="&quot;$&quot;#,##0;\(&quot;$&quot;#,##0\);\-"/>
    <numFmt numFmtId="167" formatCode="0.0000"/>
  </numFmts>
  <fonts count="10" x14ac:knownFonts="1">
    <font>
      <sz val="11"/>
      <color theme="1"/>
      <name val="Calibri"/>
      <family val="2"/>
      <scheme val="minor"/>
    </font>
    <font>
      <b/>
      <sz val="16"/>
      <color rgb="FF1A1F27"/>
      <name val="Arial"/>
    </font>
    <font>
      <sz val="10.5"/>
      <color rgb="FF5B6572"/>
      <name val="Arial"/>
    </font>
    <font>
      <b/>
      <sz val="12"/>
      <color rgb="FF1A1F27"/>
      <name val="Arial"/>
    </font>
    <font>
      <b/>
      <sz val="11"/>
      <color rgb="FFFFFFFF"/>
      <name val="Arial"/>
    </font>
    <font>
      <sz val="10.5"/>
      <color rgb="FF000000"/>
      <name val="Arial"/>
    </font>
    <font>
      <b/>
      <sz val="10.5"/>
      <color rgb="FF000000"/>
      <name val="Arial"/>
    </font>
    <font>
      <b/>
      <sz val="10.5"/>
      <color rgb="FF008000"/>
      <name val="Arial"/>
    </font>
    <font>
      <i/>
      <sz val="9.5"/>
      <color rgb="FF5B6572"/>
      <name val="Arial"/>
    </font>
    <font>
      <sz val="10.5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A7F4E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2" fontId="9" fillId="3" borderId="0" xfId="0" applyNumberFormat="1" applyFont="1" applyFill="1" applyAlignment="1">
      <alignment vertical="top" wrapText="1"/>
    </xf>
    <xf numFmtId="164" fontId="9" fillId="3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166" fontId="9" fillId="3" borderId="0" xfId="0" applyNumberFormat="1" applyFont="1" applyFill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3" fontId="9" fillId="3" borderId="0" xfId="0" applyNumberFormat="1" applyFont="1" applyFill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167" fontId="9" fillId="3" borderId="0" xfId="0" applyNumberFormat="1" applyFont="1" applyFill="1" applyAlignment="1">
      <alignment vertical="top" wrapText="1"/>
    </xf>
    <xf numFmtId="0" fontId="0" fillId="0" borderId="0" xfId="0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GridLines="0" tabSelected="1" topLeftCell="D49" workbookViewId="0">
      <selection activeCell="D50" sqref="D50"/>
    </sheetView>
  </sheetViews>
  <sheetFormatPr defaultRowHeight="15" x14ac:dyDescent="0.25"/>
  <cols>
    <col min="1" max="1" width="32" customWidth="1"/>
    <col min="2" max="2" width="28" customWidth="1"/>
    <col min="3" max="3" width="58.28515625" bestFit="1" customWidth="1"/>
    <col min="4" max="4" width="18.42578125" bestFit="1" customWidth="1"/>
    <col min="5" max="7" width="14" customWidth="1"/>
    <col min="8" max="8" width="30" customWidth="1"/>
    <col min="9" max="10" width="14" customWidth="1"/>
    <col min="11" max="12" width="44" customWidth="1"/>
  </cols>
  <sheetData>
    <row r="1" spans="1:6" ht="20.25" x14ac:dyDescent="0.3">
      <c r="A1" s="1" t="s">
        <v>0</v>
      </c>
    </row>
    <row r="2" spans="1:6" ht="81" x14ac:dyDescent="0.25">
      <c r="A2" s="2" t="s">
        <v>1</v>
      </c>
    </row>
    <row r="4" spans="1:6" ht="15.75" x14ac:dyDescent="0.25">
      <c r="A4" s="3" t="s">
        <v>2</v>
      </c>
    </row>
    <row r="5" spans="1:6" ht="20.10000000000000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56.1" customHeight="1" x14ac:dyDescent="0.25">
      <c r="A6" s="5">
        <v>1</v>
      </c>
      <c r="B6" s="6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 spans="1:6" ht="56.1" customHeight="1" x14ac:dyDescent="0.25">
      <c r="A7" s="5">
        <v>2</v>
      </c>
      <c r="B7" s="6" t="s">
        <v>14</v>
      </c>
      <c r="C7" s="5" t="s">
        <v>15</v>
      </c>
      <c r="D7" s="5" t="s">
        <v>11</v>
      </c>
      <c r="E7" s="5" t="s">
        <v>16</v>
      </c>
      <c r="F7" s="5" t="s">
        <v>13</v>
      </c>
    </row>
    <row r="8" spans="1:6" ht="56.1" customHeight="1" x14ac:dyDescent="0.25">
      <c r="A8" s="5">
        <v>3</v>
      </c>
      <c r="B8" s="6" t="s">
        <v>17</v>
      </c>
      <c r="C8" s="5" t="s">
        <v>18</v>
      </c>
      <c r="D8" s="5" t="s">
        <v>19</v>
      </c>
      <c r="E8" s="5" t="s">
        <v>20</v>
      </c>
      <c r="F8" s="5" t="s">
        <v>13</v>
      </c>
    </row>
    <row r="9" spans="1:6" ht="56.1" customHeight="1" x14ac:dyDescent="0.25">
      <c r="A9" s="5">
        <v>4</v>
      </c>
      <c r="B9" s="6" t="s">
        <v>21</v>
      </c>
      <c r="C9" s="5" t="s">
        <v>22</v>
      </c>
      <c r="D9" s="5" t="s">
        <v>11</v>
      </c>
      <c r="E9" s="5" t="s">
        <v>23</v>
      </c>
      <c r="F9" s="5" t="s">
        <v>13</v>
      </c>
    </row>
    <row r="10" spans="1:6" ht="56.1" customHeight="1" x14ac:dyDescent="0.25">
      <c r="A10" s="5">
        <v>5</v>
      </c>
      <c r="B10" s="6" t="s">
        <v>24</v>
      </c>
      <c r="C10" s="5" t="s">
        <v>25</v>
      </c>
      <c r="D10" s="5" t="s">
        <v>26</v>
      </c>
      <c r="E10" s="5" t="s">
        <v>27</v>
      </c>
      <c r="F10" s="5" t="s">
        <v>13</v>
      </c>
    </row>
    <row r="11" spans="1:6" ht="56.1" customHeight="1" x14ac:dyDescent="0.25">
      <c r="A11" s="5">
        <v>6</v>
      </c>
      <c r="B11" s="6" t="s">
        <v>28</v>
      </c>
      <c r="C11" s="5" t="s">
        <v>29</v>
      </c>
      <c r="D11" s="5" t="s">
        <v>30</v>
      </c>
      <c r="E11" s="5" t="s">
        <v>31</v>
      </c>
      <c r="F11" s="5" t="s">
        <v>13</v>
      </c>
    </row>
    <row r="12" spans="1:6" ht="56.1" customHeight="1" x14ac:dyDescent="0.25">
      <c r="A12" s="5">
        <v>7</v>
      </c>
      <c r="B12" s="6" t="s">
        <v>32</v>
      </c>
      <c r="C12" s="5" t="s">
        <v>33</v>
      </c>
      <c r="D12" s="5" t="s">
        <v>11</v>
      </c>
      <c r="E12" s="5" t="s">
        <v>23</v>
      </c>
      <c r="F12" s="5" t="s">
        <v>13</v>
      </c>
    </row>
    <row r="14" spans="1:6" ht="15.75" x14ac:dyDescent="0.25">
      <c r="A14" s="3" t="s">
        <v>34</v>
      </c>
    </row>
    <row r="15" spans="1:6" ht="27" x14ac:dyDescent="0.25">
      <c r="A15" s="5" t="s">
        <v>35</v>
      </c>
      <c r="B15" s="5" t="s">
        <v>36</v>
      </c>
      <c r="C15" s="5" t="s">
        <v>37</v>
      </c>
    </row>
    <row r="16" spans="1:6" ht="40.5" x14ac:dyDescent="0.25">
      <c r="A16" s="5" t="s">
        <v>38</v>
      </c>
      <c r="B16" s="5" t="s">
        <v>39</v>
      </c>
      <c r="C16" s="5" t="s">
        <v>40</v>
      </c>
    </row>
    <row r="17" spans="1:8" x14ac:dyDescent="0.25">
      <c r="A17" s="5" t="s">
        <v>41</v>
      </c>
      <c r="B17" s="5" t="s">
        <v>42</v>
      </c>
      <c r="C17" s="5" t="s">
        <v>43</v>
      </c>
    </row>
    <row r="18" spans="1:8" ht="38.25" x14ac:dyDescent="0.25">
      <c r="A18" s="6" t="s">
        <v>44</v>
      </c>
      <c r="B18" s="7" t="s">
        <v>13</v>
      </c>
      <c r="C18" s="8" t="s">
        <v>45</v>
      </c>
    </row>
    <row r="20" spans="1:8" ht="15.75" x14ac:dyDescent="0.25">
      <c r="A20" s="3" t="s">
        <v>46</v>
      </c>
    </row>
    <row r="21" spans="1:8" ht="25.5" x14ac:dyDescent="0.25">
      <c r="A21" s="5" t="s">
        <v>47</v>
      </c>
      <c r="B21" s="9">
        <v>95.71</v>
      </c>
      <c r="C21" s="8" t="s">
        <v>48</v>
      </c>
    </row>
    <row r="23" spans="1:8" ht="15.75" x14ac:dyDescent="0.25">
      <c r="A23" s="3" t="s">
        <v>49</v>
      </c>
    </row>
    <row r="24" spans="1:8" ht="20.100000000000001" customHeight="1" x14ac:dyDescent="0.25">
      <c r="A24" s="4" t="s">
        <v>50</v>
      </c>
      <c r="B24" s="4" t="s">
        <v>51</v>
      </c>
      <c r="C24" s="4" t="s">
        <v>52</v>
      </c>
      <c r="D24" s="4" t="s">
        <v>53</v>
      </c>
      <c r="E24" s="4" t="s">
        <v>54</v>
      </c>
      <c r="F24" s="4" t="s">
        <v>55</v>
      </c>
      <c r="G24" s="4" t="s">
        <v>56</v>
      </c>
      <c r="H24" s="4" t="s">
        <v>57</v>
      </c>
    </row>
    <row r="25" spans="1:8" ht="39.950000000000003" customHeight="1" x14ac:dyDescent="0.25">
      <c r="A25" s="5" t="s">
        <v>58</v>
      </c>
      <c r="B25" s="5" t="s">
        <v>59</v>
      </c>
      <c r="C25" s="10">
        <v>39.229999999999997</v>
      </c>
      <c r="D25" s="10">
        <v>0</v>
      </c>
      <c r="E25" s="11">
        <f>C25+D25</f>
        <v>39.229999999999997</v>
      </c>
      <c r="F25" s="12">
        <f>E25*$B$21</f>
        <v>3754.7032999999997</v>
      </c>
      <c r="G25" s="12">
        <f>E25*12*$B$21</f>
        <v>45056.439599999998</v>
      </c>
      <c r="H25" s="8" t="s">
        <v>60</v>
      </c>
    </row>
    <row r="26" spans="1:8" ht="39.950000000000003" customHeight="1" x14ac:dyDescent="0.25">
      <c r="A26" s="5" t="s">
        <v>61</v>
      </c>
      <c r="B26" s="5" t="s">
        <v>62</v>
      </c>
      <c r="C26" s="10">
        <v>42</v>
      </c>
      <c r="D26" s="10">
        <v>0</v>
      </c>
      <c r="E26" s="11">
        <f>C26+D26</f>
        <v>42</v>
      </c>
      <c r="F26" s="12">
        <f>E26*$B$21</f>
        <v>4019.8199999999997</v>
      </c>
      <c r="G26" s="12">
        <f>E26*12*$B$21</f>
        <v>48237.84</v>
      </c>
      <c r="H26" s="8" t="s">
        <v>63</v>
      </c>
    </row>
    <row r="27" spans="1:8" ht="39.950000000000003" customHeight="1" x14ac:dyDescent="0.25">
      <c r="A27" s="5" t="s">
        <v>64</v>
      </c>
      <c r="B27" s="5" t="s">
        <v>65</v>
      </c>
      <c r="C27" s="10">
        <v>60.74</v>
      </c>
      <c r="D27" s="10">
        <v>3.2</v>
      </c>
      <c r="E27" s="11">
        <f>C27+D27</f>
        <v>63.940000000000005</v>
      </c>
      <c r="F27" s="12">
        <f>E27*$B$21</f>
        <v>6119.6974</v>
      </c>
      <c r="G27" s="12">
        <f>E27*12*$B$21</f>
        <v>73436.368799999997</v>
      </c>
      <c r="H27" s="8" t="s">
        <v>66</v>
      </c>
    </row>
    <row r="28" spans="1:8" ht="39.950000000000003" customHeight="1" x14ac:dyDescent="0.25">
      <c r="A28" s="5" t="s">
        <v>67</v>
      </c>
      <c r="B28" s="5" t="s">
        <v>68</v>
      </c>
      <c r="C28" s="10">
        <v>48.92</v>
      </c>
      <c r="D28" s="10">
        <v>4.4000000000000004</v>
      </c>
      <c r="E28" s="11">
        <f>C28+D28</f>
        <v>53.32</v>
      </c>
      <c r="F28" s="12">
        <f>E28*$B$21</f>
        <v>5103.2572</v>
      </c>
      <c r="G28" s="12">
        <f>E28*12*$B$21</f>
        <v>61239.0864</v>
      </c>
      <c r="H28" s="8" t="s">
        <v>69</v>
      </c>
    </row>
    <row r="30" spans="1:8" ht="15.75" x14ac:dyDescent="0.25">
      <c r="A30" s="3" t="s">
        <v>70</v>
      </c>
    </row>
    <row r="31" spans="1:8" x14ac:dyDescent="0.25">
      <c r="A31" s="4" t="s">
        <v>71</v>
      </c>
      <c r="B31" s="4" t="s">
        <v>72</v>
      </c>
      <c r="C31" s="4" t="s">
        <v>73</v>
      </c>
    </row>
    <row r="32" spans="1:8" ht="54" x14ac:dyDescent="0.25">
      <c r="A32" s="5" t="s">
        <v>74</v>
      </c>
      <c r="B32" s="13">
        <v>5</v>
      </c>
      <c r="C32" s="12">
        <f>B32*$B$21</f>
        <v>478.54999999999995</v>
      </c>
    </row>
    <row r="33" spans="1:8" ht="54" x14ac:dyDescent="0.25">
      <c r="A33" s="5" t="s">
        <v>75</v>
      </c>
      <c r="B33" s="13">
        <v>12</v>
      </c>
      <c r="C33" s="12">
        <f>B33*$B$21</f>
        <v>1148.52</v>
      </c>
    </row>
    <row r="35" spans="1:8" ht="15.75" x14ac:dyDescent="0.25">
      <c r="A35" s="3" t="s">
        <v>76</v>
      </c>
    </row>
    <row r="36" spans="1:8" x14ac:dyDescent="0.25">
      <c r="A36" s="6" t="s">
        <v>77</v>
      </c>
      <c r="E36" s="14">
        <f>E25*12+B32+B33</f>
        <v>487.76</v>
      </c>
      <c r="F36" s="15">
        <f>E36*$B$21</f>
        <v>46683.509599999998</v>
      </c>
    </row>
    <row r="38" spans="1:8" ht="15.75" x14ac:dyDescent="0.25">
      <c r="A38" s="3" t="s">
        <v>78</v>
      </c>
    </row>
    <row r="39" spans="1:8" ht="33.950000000000003" customHeight="1" x14ac:dyDescent="0.25">
      <c r="A39" s="20" t="s">
        <v>79</v>
      </c>
      <c r="B39" s="19"/>
      <c r="C39" s="19"/>
      <c r="D39" s="19"/>
      <c r="E39" s="19"/>
      <c r="F39" s="19"/>
      <c r="G39" s="19"/>
      <c r="H39" s="19"/>
    </row>
    <row r="41" spans="1:8" ht="40.5" x14ac:dyDescent="0.25">
      <c r="A41" s="5" t="s">
        <v>80</v>
      </c>
      <c r="B41" s="16">
        <v>120</v>
      </c>
      <c r="C41" s="16">
        <v>230</v>
      </c>
    </row>
    <row r="42" spans="1:8" ht="27" x14ac:dyDescent="0.25">
      <c r="A42" s="5" t="s">
        <v>81</v>
      </c>
      <c r="B42" s="16">
        <v>150</v>
      </c>
      <c r="C42" s="16">
        <v>300</v>
      </c>
    </row>
    <row r="43" spans="1:8" ht="40.5" x14ac:dyDescent="0.25">
      <c r="A43" s="5" t="s">
        <v>82</v>
      </c>
      <c r="B43" s="16">
        <v>1500</v>
      </c>
    </row>
    <row r="44" spans="1:8" ht="40.5" x14ac:dyDescent="0.25">
      <c r="A44" s="5" t="s">
        <v>83</v>
      </c>
      <c r="B44" s="16">
        <v>10000</v>
      </c>
    </row>
    <row r="46" spans="1:8" ht="178.5" x14ac:dyDescent="0.25">
      <c r="A46" s="5" t="s">
        <v>84</v>
      </c>
      <c r="B46" s="10">
        <v>21.79</v>
      </c>
      <c r="C46" s="12">
        <f>B46*12*$B$21</f>
        <v>25026.250800000002</v>
      </c>
      <c r="D46" s="8" t="s">
        <v>85</v>
      </c>
    </row>
    <row r="47" spans="1:8" ht="40.5" x14ac:dyDescent="0.25">
      <c r="A47" s="5" t="s">
        <v>86</v>
      </c>
      <c r="C47" s="17">
        <f>G25-C46</f>
        <v>20030.188799999996</v>
      </c>
    </row>
    <row r="49" spans="1:12" ht="24" customHeight="1" x14ac:dyDescent="0.25">
      <c r="A49" s="4" t="s">
        <v>87</v>
      </c>
      <c r="B49" s="4" t="s">
        <v>88</v>
      </c>
      <c r="C49" s="4" t="s">
        <v>89</v>
      </c>
      <c r="K49" s="4" t="s">
        <v>90</v>
      </c>
      <c r="L49" s="4" t="s">
        <v>91</v>
      </c>
    </row>
    <row r="50" spans="1:12" ht="69.95" customHeight="1" x14ac:dyDescent="0.25">
      <c r="A50" s="6" t="s">
        <v>92</v>
      </c>
      <c r="B50" s="18">
        <v>0</v>
      </c>
      <c r="C50" s="18">
        <v>0</v>
      </c>
      <c r="K50" s="5" t="s">
        <v>93</v>
      </c>
      <c r="L50" s="5" t="s">
        <v>94</v>
      </c>
    </row>
    <row r="51" spans="1:12" ht="69.95" customHeight="1" x14ac:dyDescent="0.25">
      <c r="A51" s="6" t="s">
        <v>95</v>
      </c>
      <c r="B51" s="18">
        <v>4</v>
      </c>
      <c r="C51" s="18">
        <v>16</v>
      </c>
      <c r="K51" s="5" t="s">
        <v>96</v>
      </c>
      <c r="L51" s="5" t="s">
        <v>97</v>
      </c>
    </row>
    <row r="52" spans="1:12" ht="69.95" customHeight="1" x14ac:dyDescent="0.25">
      <c r="A52" s="6" t="s">
        <v>98</v>
      </c>
      <c r="B52" s="18">
        <v>0.3</v>
      </c>
      <c r="C52" s="18">
        <v>2.5</v>
      </c>
      <c r="K52" s="5" t="s">
        <v>99</v>
      </c>
      <c r="L52" s="5" t="s">
        <v>100</v>
      </c>
    </row>
    <row r="53" spans="1:12" ht="69.95" customHeight="1" x14ac:dyDescent="0.25">
      <c r="A53" s="6" t="s">
        <v>101</v>
      </c>
      <c r="B53" s="18">
        <v>0.75</v>
      </c>
      <c r="C53" s="18">
        <v>4.5</v>
      </c>
      <c r="K53" s="5" t="s">
        <v>102</v>
      </c>
      <c r="L53" s="5" t="s">
        <v>103</v>
      </c>
    </row>
    <row r="55" spans="1:12" ht="57.95" customHeight="1" x14ac:dyDescent="0.25">
      <c r="A55" s="6" t="s">
        <v>104</v>
      </c>
    </row>
  </sheetData>
  <mergeCells count="1">
    <mergeCell ref="A39:H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Browser Extension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2026-07-30T10:15:29Z</dcterms:created>
  <dcterms:modified xsi:type="dcterms:W3CDTF">2026-07-30T11:09:04Z</dcterms:modified>
</cp:coreProperties>
</file>