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AI Assissant POC\docs\"/>
    </mc:Choice>
  </mc:AlternateContent>
  <bookViews>
    <workbookView xWindow="0" yWindow="0" windowWidth="24000" windowHeight="11745"/>
  </bookViews>
  <sheets>
    <sheet name="Summary" sheetId="1" r:id="rId1"/>
    <sheet name="Full Breakdown" sheetId="2" r:id="rId2"/>
    <sheet name="Assumptions &amp; Sources" sheetId="3" r:id="rId3"/>
  </sheets>
  <calcPr calcId="152511"/>
</workbook>
</file>

<file path=xl/calcChain.xml><?xml version="1.0" encoding="utf-8"?>
<calcChain xmlns="http://schemas.openxmlformats.org/spreadsheetml/2006/main">
  <c r="F22" i="1" l="1"/>
  <c r="F9" i="1"/>
  <c r="B15" i="1" s="1"/>
  <c r="F8" i="1"/>
  <c r="B14" i="1" s="1"/>
  <c r="F7" i="1"/>
  <c r="B13" i="1" s="1"/>
  <c r="F6" i="1"/>
  <c r="F24" i="1" s="1"/>
  <c r="B12" i="1" l="1"/>
</calcChain>
</file>

<file path=xl/sharedStrings.xml><?xml version="1.0" encoding="utf-8"?>
<sst xmlns="http://schemas.openxmlformats.org/spreadsheetml/2006/main" count="136" uniqueCount="129">
  <si>
    <t>OrderAssist Browser Extension — Production Go-Live Cost Estimate</t>
  </si>
  <si>
    <t>What it costs to run this catalogue-matching flow on a real server, instead of on a laptop for free. Small-team scale: a few reps, dozens of Send clicks/day.</t>
  </si>
  <si>
    <t>Recurring hosting cost (choose one provider)</t>
  </si>
  <si>
    <t>Provider</t>
  </si>
  <si>
    <t>Spec</t>
  </si>
  <si>
    <t>Storage</t>
  </si>
  <si>
    <t>Compute $/mo</t>
  </si>
  <si>
    <t>Storage $/mo</t>
  </si>
  <si>
    <t>Total $/mo</t>
  </si>
  <si>
    <t>Notes</t>
  </si>
  <si>
    <t>Hetzner Cloud - CPX32</t>
  </si>
  <si>
    <t>4 vCPU / 8 GB</t>
  </si>
  <si>
    <t>160 GB NVMe SSD (bundled)</t>
  </si>
  <si>
    <t>EUR 35.99/month confirmed from Hetzner's own live pricing page (2026-07-29) - the max monthly price on hourly billing (EUR 0.0577/hr). Converted to USD at ~1.09 EUR/USD for comparison here; Hetzner bills in EUR natively, so your actual USD cost depends on your card's exchange rate at billing time.</t>
  </si>
  <si>
    <t>DigitalOcean - General Purpose 8GB</t>
  </si>
  <si>
    <t>2 vCPU / 8 GB</t>
  </si>
  <si>
    <t>Bundled (exact GB not confirmed)</t>
  </si>
  <si>
    <t>Storage is bundled into the droplet price, but the exact GB for this tier was not confirmed from primary sources this session - check digitalocean.com/pricing/droplets.</t>
  </si>
  <si>
    <t>AWS EC2 t3.large + EBS gp3</t>
  </si>
  <si>
    <t>40 GB gp3 (assumed, sized separately)</t>
  </si>
  <si>
    <t>AWS bills compute and storage separately. gp3 is $0.08/GB/month; 40GB is an assumed reasonable size for this workload's data (catalogue cache, logs) - adjust freely.</t>
  </si>
  <si>
    <t>GCP e2-standard-2 + Persistent Disk</t>
  </si>
  <si>
    <t>40 GB pd-balanced (assumed, sized separately)</t>
  </si>
  <si>
    <t>GCP also bills storage separately. pd-balanced is roughly $0.11/GB/month (between pd-standard ~$0.04 and pd-ssd ~$0.17); 40GB assumed for this workload.</t>
  </si>
  <si>
    <t>$/year (Total $/mo x 12)</t>
  </si>
  <si>
    <t>Hetzner / year</t>
  </si>
  <si>
    <t>DigitalOcean / year</t>
  </si>
  <si>
    <t>AWS / year</t>
  </si>
  <si>
    <t>GCP / year</t>
  </si>
  <si>
    <t>One-time setup costs</t>
  </si>
  <si>
    <t>Item</t>
  </si>
  <si>
    <t>Cost</t>
  </si>
  <si>
    <t>Chrome Web Store developer registration</t>
  </si>
  <si>
    <t>One-time, ever - covers your whole catalog of extensions, no renewal.</t>
  </si>
  <si>
    <t>Domain name (optional, 1 year)</t>
  </si>
  <si>
    <t>Only needed if you want a real hostname instead of a bare IP; renews annually.</t>
  </si>
  <si>
    <t>Total one-time cost</t>
  </si>
  <si>
    <t>Estimated total, first year (cheapest hosting incl. storage + one-time setup)</t>
  </si>
  <si>
    <t>External API cost stays $0.00 regardless of provider - the flow uses only self-hosted Ollama (gemma2:2b) and the self-hosted embedding service, both running on the VM above.</t>
  </si>
  <si>
    <t>What Has To Run In Production, And What It Needs</t>
  </si>
  <si>
    <t>Component</t>
  </si>
  <si>
    <t>Runs where today</t>
  </si>
  <si>
    <t>Runs where in production</t>
  </si>
  <si>
    <t>Extra $</t>
  </si>
  <si>
    <t>Backend (backend/server.py)</t>
  </si>
  <si>
    <t>localhost:5050 on this laptop</t>
  </si>
  <si>
    <t>Same code, on the production VM</t>
  </si>
  <si>
    <t>Pure-stdlib Python, no extra install beyond Python itself. Storage footprint: negligible (JSON files).</t>
  </si>
  <si>
    <t>Embedding service</t>
  </si>
  <si>
    <t>Docker container on this laptop</t>
  </si>
  <si>
    <t>Same Docker container, on the production VM</t>
  </si>
  <si>
    <t>CPU-only, no GPU needed. The nomic-embed-text model itself is a few hundred MB on disk.</t>
  </si>
  <si>
    <t>Ollama (gemma2:2b)</t>
  </si>
  <si>
    <t>This laptop's Ollama install</t>
  </si>
  <si>
    <t>Ollama installed on the production VM</t>
  </si>
  <si>
    <t>~1.6GB model file on disk, ~2-3GB RAM in use at inference; runs fine on CPU at this call volume.</t>
  </si>
  <si>
    <t>Google Drive API calls</t>
  </si>
  <si>
    <t>Free tier quota</t>
  </si>
  <si>
    <t>Same free tier quota</t>
  </si>
  <si>
    <t>Drive API's free quota comfortably covers dozens of catalogue lookups/day. No storage - files stay in the customer's own Drive.</t>
  </si>
  <si>
    <t>HTTPS/SSL certificate</t>
  </si>
  <si>
    <t>N/A (localhost)</t>
  </si>
  <si>
    <t>Let's Encrypt (Certbot)</t>
  </si>
  <si>
    <t>Free, auto-renewing; needs a domain name pointed at the VM (see Summary).</t>
  </si>
  <si>
    <t>Chrome Web Store listing</t>
  </si>
  <si>
    <t>Unpacked/dev-mode extension</t>
  </si>
  <si>
    <t>Published listing</t>
  </si>
  <si>
    <t>One-time $5 registration fee (see Summary) - covers publishing this and any future extension.</t>
  </si>
  <si>
    <t>Disk sizing: Ollama model (~2GB) + embedding model (~0.5GB) + OS + Docker images (~5-8GB) + headroom</t>
  </si>
  <si>
    <t>for catalogue/OCR cache growth -&gt; 30-40GB is a comfortable floor; Hetzner's bundled 160GB has plenty of margin.</t>
  </si>
  <si>
    <t>Hetzner Cloud full tier lineup (for reference / resizing)</t>
  </si>
  <si>
    <t>Plan</t>
  </si>
  <si>
    <t>vCPU</t>
  </si>
  <si>
    <t>RAM</t>
  </si>
  <si>
    <t>SSD</t>
  </si>
  <si>
    <t>Max €/month</t>
  </si>
  <si>
    <t>CPX12</t>
  </si>
  <si>
    <t>2 GB</t>
  </si>
  <si>
    <t>40 GB</t>
  </si>
  <si>
    <t>CPX22</t>
  </si>
  <si>
    <t>4 GB</t>
  </si>
  <si>
    <t>80 GB</t>
  </si>
  <si>
    <t>CPX32 (used in this estimate)</t>
  </si>
  <si>
    <t>8 GB</t>
  </si>
  <si>
    <t>160 GB</t>
  </si>
  <si>
    <t>CPX42</t>
  </si>
  <si>
    <t>16 GB</t>
  </si>
  <si>
    <t>320 GB</t>
  </si>
  <si>
    <t>CPX52</t>
  </si>
  <si>
    <t>24 GB</t>
  </si>
  <si>
    <t>480 GB</t>
  </si>
  <si>
    <t>CPX62</t>
  </si>
  <si>
    <t>32 GB</t>
  </si>
  <si>
    <t>640 GB</t>
  </si>
  <si>
    <t>Source: Hetzner Cloud's live pricing table, provided by the user 2026-07-29.</t>
  </si>
  <si>
    <t>Assumptions &amp; Sources</t>
  </si>
  <si>
    <t>1. Scale assumed</t>
  </si>
  <si>
    <t>Traffic</t>
  </si>
  <si>
    <t>Small team - a few reps, dozens of Send clicks/day. A mid-size or large rollout would need a bigger VM or split services (Ollama on its own instance), not covered here.</t>
  </si>
  <si>
    <t>2. Storage - direct answer to "how much storage do I get"</t>
  </si>
  <si>
    <t>Hetzner CPX32</t>
  </si>
  <si>
    <t>160 GB local NVMe SSD, bundled into the monthly price - confirmed on Hetzner's own pricing page.</t>
  </si>
  <si>
    <t>DigitalOcean</t>
  </si>
  <si>
    <t>Storage is bundled into the droplet price for this tier, but the exact GB figure was not confirmed from a primary source this session.</t>
  </si>
  <si>
    <t>AWS / GCP</t>
  </si>
  <si>
    <t>NOT bundled - both charge for the boot/data disk (EBS or Persistent Disk) separately from compute, at a per-GB-month rate. This sheet assumes a 40GB disk on each as a reasonable size for this workload; resize the assumption in the Summary tab (D8:E9) to re-total.</t>
  </si>
  <si>
    <t>3. Pricing sources and reliability</t>
  </si>
  <si>
    <t>Hetzner CPX32 price</t>
  </si>
  <si>
    <t>EUR 35.99/month (max on hourly billing, EUR 0.0577/hr) - taken directly from Hetzner's own live pricing page, provided by the user 2026-07-29. This replaces an earlier, wrong estimate from this session (third-party aggregators had disagreed by nearly 4x, EUR16.49 to EUR62 - the live page is authoritative). Converted to USD at ~1.09 EUR/USD for comparison; actual USD billing depends on your card's exchange rate.</t>
  </si>
  <si>
    <t>DigitalOcean (4 vCPU/8GB)</t>
  </si>
  <si>
    <t>$36-48/month range reported by search; $42 used as the midpoint. Not confirmed against DigitalOcean's own pricing page.</t>
  </si>
  <si>
    <t>AWS EC2 t3.large (2 vCPU/8GB, on-demand)</t>
  </si>
  <si>
    <t>$0.0832/hour -&gt; $60.74/month, us-east-1 on-demand. EBS gp3 storage: $0.08/GB/month (AWS list price).</t>
  </si>
  <si>
    <t>GCP e2-standard-2 (2 vCPU/8GB, on-demand)</t>
  </si>
  <si>
    <t>$0.0670/hour -&gt; $48.92/month, us-central1 on-demand. Persistent disk: pd-balanced approximated at $0.11/GB/month, between pd-standard (~$0.04) and pd-ssd (~$0.17) - not independently confirmed for the balanced tier specifically.</t>
  </si>
  <si>
    <t>General caveat</t>
  </si>
  <si>
    <t>All prices are on-demand/list prices from third-party aggregators and search snippets, not fetched live from each provider's own calculator. Confirm exact current numbers before committing - cloud pricing changes without notice and varies by region.</t>
  </si>
  <si>
    <t>4. Chrome Web Store fee</t>
  </si>
  <si>
    <t>Fee</t>
  </si>
  <si>
    <t>$5, one-time, covers the developer's entire catalog of extensions with no renewal - per Chrome for Developers documentation and multiple current sources.</t>
  </si>
  <si>
    <t>5. What is NOT included in this estimate</t>
  </si>
  <si>
    <t>Excluded</t>
  </si>
  <si>
    <t>Monitoring/alerting, automated backups, a managed database (this project uses flat JSON files, no DB), CI/CD, or a staging environment.</t>
  </si>
  <si>
    <t>The main admission chat/RAG pipeline's own hosting - if it runs on the same VM as this extension's backend, no extra hosting cost; if it needs a separate/larger VM, that is a separate estimate.</t>
  </si>
  <si>
    <t>Reserved/committed-use discounts (AWS Savings Plans, GCP CUDs) - all prices above are on-demand rates, typically 20-40% higher than a 1-year commitment would cost.</t>
  </si>
  <si>
    <t>Any support/SLA tier, team/multi-admin seats, or compliance certifications a real business rollout might need.</t>
  </si>
  <si>
    <t>6. Related documents</t>
  </si>
  <si>
    <t>See also</t>
  </si>
  <si>
    <t>docs/orderassist-extension-cost-breakdown.xlsx - the per-call API cost breakdown (currently $0.00, local-only LLM routing) that this production estimate builds on top of.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</si>
</sst>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\$#,##0.00"/>
    <numFmt numFmtId="165" formatCode="\$#,##0"/>
    <numFmt numFmtId="166" formatCode="&quot;€&quot;#,##0.00"/>
  </numFmts>
  <fonts count="15" x14ac:knownFonts="1">
    <font>
      <sz val="11"/>
      <color theme="1"/>
      <name val="Calibri"/>
      <family val="2"/>
      <scheme val="minor"/>
    </font>
    <font>
      <b/>
      <sz val="16"/>
      <color rgb="FF1A1F27"/>
      <name val="Arial"/>
    </font>
    <font>
      <sz val="10.5"/>
      <color rgb="FF5B6572"/>
      <name val="Arial"/>
    </font>
    <font>
      <b/>
      <sz val="11"/>
      <name val="Arial"/>
    </font>
    <font>
      <b/>
      <sz val="11"/>
      <color rgb="FFFFFFFF"/>
      <name val="Arial"/>
    </font>
    <font>
      <b/>
      <sz val="10.5"/>
      <name val="Arial"/>
    </font>
    <font>
      <sz val="10.5"/>
      <name val="Arial"/>
    </font>
    <font>
      <sz val="9.5"/>
      <name val="Arial"/>
    </font>
    <font>
      <sz val="11"/>
      <color rgb="FF0000FF"/>
      <name val="Arial"/>
    </font>
    <font>
      <sz val="11"/>
      <color rgb="FF000000"/>
      <name val="Arial"/>
    </font>
    <font>
      <i/>
      <sz val="9.5"/>
      <color rgb="FF5B6572"/>
      <name val="Arial"/>
    </font>
    <font>
      <b/>
      <sz val="12"/>
      <color rgb="FF1A7F4E"/>
      <name val="Arial"/>
    </font>
    <font>
      <b/>
      <sz val="13"/>
      <color rgb="FF1A7F4E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A7F4E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D8DEE5"/>
      </left>
      <right style="thin">
        <color rgb="FFD8DEE5"/>
      </right>
      <top style="thin">
        <color rgb="FFD8DEE5"/>
      </top>
      <bottom style="thin">
        <color rgb="FFD8DEE5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3" borderId="1" xfId="0" applyFont="1" applyFill="1" applyBorder="1"/>
    <xf numFmtId="0" fontId="6" fillId="3" borderId="1" xfId="0" applyFont="1" applyFill="1" applyBorder="1"/>
    <xf numFmtId="0" fontId="7" fillId="3" borderId="1" xfId="0" applyFont="1" applyFill="1" applyBorder="1"/>
    <xf numFmtId="164" fontId="8" fillId="3" borderId="1" xfId="0" applyNumberFormat="1" applyFont="1" applyFill="1" applyBorder="1"/>
    <xf numFmtId="164" fontId="9" fillId="3" borderId="1" xfId="0" applyNumberFormat="1" applyFont="1" applyFill="1" applyBorder="1"/>
    <xf numFmtId="0" fontId="10" fillId="3" borderId="1" xfId="0" applyFont="1" applyFill="1" applyBorder="1" applyAlignment="1">
      <alignment vertical="top" wrapText="1"/>
    </xf>
    <xf numFmtId="0" fontId="6" fillId="0" borderId="1" xfId="0" applyFont="1" applyBorder="1"/>
    <xf numFmtId="0" fontId="7" fillId="0" borderId="1" xfId="0" applyFont="1" applyBorder="1"/>
    <xf numFmtId="164" fontId="8" fillId="0" borderId="1" xfId="0" applyNumberFormat="1" applyFont="1" applyBorder="1"/>
    <xf numFmtId="164" fontId="9" fillId="0" borderId="1" xfId="0" applyNumberFormat="1" applyFont="1" applyBorder="1"/>
    <xf numFmtId="0" fontId="10" fillId="0" borderId="1" xfId="0" applyFont="1" applyBorder="1" applyAlignment="1">
      <alignment vertical="top" wrapText="1"/>
    </xf>
    <xf numFmtId="0" fontId="10" fillId="0" borderId="1" xfId="0" applyFont="1" applyBorder="1"/>
    <xf numFmtId="0" fontId="4" fillId="2" borderId="1" xfId="0" applyFont="1" applyFill="1" applyBorder="1"/>
    <xf numFmtId="0" fontId="0" fillId="0" borderId="1" xfId="0" applyBorder="1"/>
    <xf numFmtId="164" fontId="11" fillId="0" borderId="1" xfId="0" applyNumberFormat="1" applyFont="1" applyBorder="1"/>
    <xf numFmtId="164" fontId="12" fillId="0" borderId="1" xfId="0" applyNumberFormat="1" applyFont="1" applyBorder="1"/>
    <xf numFmtId="0" fontId="5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165" fontId="8" fillId="0" borderId="1" xfId="0" applyNumberFormat="1" applyFont="1" applyBorder="1" applyAlignment="1">
      <alignment vertical="top" wrapText="1"/>
    </xf>
    <xf numFmtId="0" fontId="13" fillId="0" borderId="1" xfId="0" applyFont="1" applyBorder="1"/>
    <xf numFmtId="166" fontId="13" fillId="0" borderId="1" xfId="0" applyNumberFormat="1" applyFont="1" applyBorder="1"/>
    <xf numFmtId="0" fontId="14" fillId="3" borderId="1" xfId="0" applyFont="1" applyFill="1" applyBorder="1"/>
    <xf numFmtId="0" fontId="13" fillId="3" borderId="1" xfId="0" applyFont="1" applyFill="1" applyBorder="1"/>
    <xf numFmtId="166" fontId="13" fillId="3" borderId="1" xfId="0" applyNumberFormat="1" applyFont="1" applyFill="1" applyBorder="1"/>
    <xf numFmtId="0" fontId="6" fillId="0" borderId="1" xfId="0" applyFont="1" applyBorder="1" applyAlignment="1">
      <alignment vertical="top" wrapText="1"/>
    </xf>
    <xf numFmtId="0" fontId="1" fillId="0" borderId="0" xfId="0" applyFont="1"/>
    <xf numFmtId="0" fontId="0" fillId="0" borderId="0" xfId="0"/>
    <xf numFmtId="0" fontId="3" fillId="0" borderId="0" xfId="0" applyFont="1"/>
    <xf numFmtId="0" fontId="6" fillId="0" borderId="1" xfId="0" applyFont="1" applyBorder="1"/>
    <xf numFmtId="0" fontId="0" fillId="0" borderId="1" xfId="0" applyBorder="1"/>
    <xf numFmtId="0" fontId="3" fillId="0" borderId="1" xfId="0" applyFont="1" applyBorder="1"/>
    <xf numFmtId="0" fontId="10" fillId="0" borderId="0" xfId="0" applyFont="1"/>
    <xf numFmtId="0" fontId="2" fillId="0" borderId="0" xfId="0" applyFont="1"/>
    <xf numFmtId="0" fontId="4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showGridLines="0" tabSelected="1" workbookViewId="0">
      <selection sqref="A1:G1"/>
    </sheetView>
  </sheetViews>
  <sheetFormatPr defaultRowHeight="15" x14ac:dyDescent="0.25"/>
  <cols>
    <col min="1" max="1" width="30" customWidth="1"/>
    <col min="2" max="2" width="16" customWidth="1"/>
    <col min="3" max="3" width="22" customWidth="1"/>
    <col min="4" max="6" width="16" customWidth="1"/>
    <col min="7" max="7" width="40" customWidth="1"/>
  </cols>
  <sheetData>
    <row r="1" spans="1:7" ht="20.25" x14ac:dyDescent="0.3">
      <c r="A1" s="28" t="s">
        <v>0</v>
      </c>
      <c r="B1" s="29"/>
      <c r="C1" s="29"/>
      <c r="D1" s="29"/>
      <c r="E1" s="29"/>
      <c r="F1" s="29"/>
      <c r="G1" s="29"/>
    </row>
    <row r="2" spans="1:7" x14ac:dyDescent="0.25">
      <c r="A2" s="35" t="s">
        <v>1</v>
      </c>
      <c r="B2" s="29"/>
      <c r="C2" s="29"/>
      <c r="D2" s="29"/>
      <c r="E2" s="29"/>
      <c r="F2" s="29"/>
      <c r="G2" s="29"/>
    </row>
    <row r="4" spans="1:7" x14ac:dyDescent="0.25">
      <c r="A4" s="30" t="s">
        <v>2</v>
      </c>
      <c r="B4" s="29"/>
      <c r="C4" s="29"/>
      <c r="D4" s="29"/>
      <c r="E4" s="29"/>
      <c r="F4" s="29"/>
      <c r="G4" s="29"/>
    </row>
    <row r="5" spans="1:7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1:7" ht="102" x14ac:dyDescent="0.25">
      <c r="A6" s="3" t="s">
        <v>10</v>
      </c>
      <c r="B6" s="4" t="s">
        <v>11</v>
      </c>
      <c r="C6" s="5" t="s">
        <v>12</v>
      </c>
      <c r="D6" s="6">
        <v>39.229999999999997</v>
      </c>
      <c r="E6" s="6">
        <v>0</v>
      </c>
      <c r="F6" s="7">
        <f>D6+E6</f>
        <v>39.229999999999997</v>
      </c>
      <c r="G6" s="8" t="s">
        <v>13</v>
      </c>
    </row>
    <row r="7" spans="1:7" ht="51" x14ac:dyDescent="0.25">
      <c r="A7" s="9" t="s">
        <v>14</v>
      </c>
      <c r="B7" s="9" t="s">
        <v>15</v>
      </c>
      <c r="C7" s="10" t="s">
        <v>16</v>
      </c>
      <c r="D7" s="11">
        <v>42</v>
      </c>
      <c r="E7" s="11">
        <v>0</v>
      </c>
      <c r="F7" s="12">
        <f>D7+E7</f>
        <v>42</v>
      </c>
      <c r="G7" s="13" t="s">
        <v>17</v>
      </c>
    </row>
    <row r="8" spans="1:7" ht="51" x14ac:dyDescent="0.25">
      <c r="A8" s="9" t="s">
        <v>18</v>
      </c>
      <c r="B8" s="9" t="s">
        <v>15</v>
      </c>
      <c r="C8" s="10" t="s">
        <v>19</v>
      </c>
      <c r="D8" s="11">
        <v>60.74</v>
      </c>
      <c r="E8" s="11">
        <v>3.2</v>
      </c>
      <c r="F8" s="12">
        <f>D8+E8</f>
        <v>63.940000000000005</v>
      </c>
      <c r="G8" s="13" t="s">
        <v>20</v>
      </c>
    </row>
    <row r="9" spans="1:7" ht="51" x14ac:dyDescent="0.25">
      <c r="A9" s="9" t="s">
        <v>21</v>
      </c>
      <c r="B9" s="9" t="s">
        <v>15</v>
      </c>
      <c r="C9" s="10" t="s">
        <v>22</v>
      </c>
      <c r="D9" s="11">
        <v>48.92</v>
      </c>
      <c r="E9" s="11">
        <v>4.4000000000000004</v>
      </c>
      <c r="F9" s="12">
        <f>D9+E9</f>
        <v>53.32</v>
      </c>
      <c r="G9" s="13" t="s">
        <v>23</v>
      </c>
    </row>
    <row r="11" spans="1:7" x14ac:dyDescent="0.25">
      <c r="A11" s="1" t="s">
        <v>24</v>
      </c>
    </row>
    <row r="12" spans="1:7" x14ac:dyDescent="0.25">
      <c r="A12" s="14" t="s">
        <v>25</v>
      </c>
      <c r="B12" s="12">
        <f>F6*12</f>
        <v>470.76</v>
      </c>
    </row>
    <row r="13" spans="1:7" x14ac:dyDescent="0.25">
      <c r="A13" s="14" t="s">
        <v>26</v>
      </c>
      <c r="B13" s="12">
        <f>F7*12</f>
        <v>504</v>
      </c>
    </row>
    <row r="14" spans="1:7" x14ac:dyDescent="0.25">
      <c r="A14" s="14" t="s">
        <v>27</v>
      </c>
      <c r="B14" s="12">
        <f>F8*12</f>
        <v>767.28000000000009</v>
      </c>
    </row>
    <row r="15" spans="1:7" x14ac:dyDescent="0.25">
      <c r="A15" s="14" t="s">
        <v>28</v>
      </c>
      <c r="B15" s="12">
        <f>F9*12</f>
        <v>639.84</v>
      </c>
    </row>
    <row r="17" spans="1:7" x14ac:dyDescent="0.25">
      <c r="A17" s="30" t="s">
        <v>29</v>
      </c>
      <c r="B17" s="29"/>
      <c r="C17" s="29"/>
      <c r="D17" s="29"/>
      <c r="E17" s="29"/>
      <c r="F17" s="29"/>
      <c r="G17" s="29"/>
    </row>
    <row r="18" spans="1:7" x14ac:dyDescent="0.25">
      <c r="A18" s="15" t="s">
        <v>30</v>
      </c>
      <c r="B18" s="15"/>
      <c r="C18" s="15"/>
      <c r="D18" s="15"/>
      <c r="E18" s="15"/>
      <c r="F18" s="15" t="s">
        <v>31</v>
      </c>
      <c r="G18" s="15" t="s">
        <v>9</v>
      </c>
    </row>
    <row r="19" spans="1:7" x14ac:dyDescent="0.25">
      <c r="A19" s="31" t="s">
        <v>32</v>
      </c>
      <c r="B19" s="32"/>
      <c r="C19" s="32"/>
      <c r="D19" s="32"/>
      <c r="E19" s="32"/>
      <c r="F19" s="11">
        <v>5</v>
      </c>
      <c r="G19" s="14" t="s">
        <v>33</v>
      </c>
    </row>
    <row r="20" spans="1:7" x14ac:dyDescent="0.25">
      <c r="A20" s="31" t="s">
        <v>34</v>
      </c>
      <c r="B20" s="32"/>
      <c r="C20" s="32"/>
      <c r="D20" s="32"/>
      <c r="E20" s="32"/>
      <c r="F20" s="11">
        <v>12</v>
      </c>
      <c r="G20" s="14" t="s">
        <v>35</v>
      </c>
    </row>
    <row r="22" spans="1:7" ht="15.75" x14ac:dyDescent="0.25">
      <c r="A22" s="33" t="s">
        <v>36</v>
      </c>
      <c r="B22" s="32"/>
      <c r="C22" s="32"/>
      <c r="D22" s="32"/>
      <c r="E22" s="32"/>
      <c r="F22" s="17">
        <f>SUM(F19:F20)</f>
        <v>17</v>
      </c>
      <c r="G22" s="16"/>
    </row>
    <row r="24" spans="1:7" ht="16.5" x14ac:dyDescent="0.25">
      <c r="A24" s="33" t="s">
        <v>37</v>
      </c>
      <c r="B24" s="32"/>
      <c r="C24" s="32"/>
      <c r="D24" s="32"/>
      <c r="E24" s="32"/>
      <c r="F24" s="18">
        <f>F6*12+F22</f>
        <v>487.76</v>
      </c>
      <c r="G24" s="16"/>
    </row>
    <row r="26" spans="1:7" x14ac:dyDescent="0.25">
      <c r="A26" s="34" t="s">
        <v>38</v>
      </c>
      <c r="B26" s="29"/>
      <c r="C26" s="29"/>
      <c r="D26" s="29"/>
      <c r="E26" s="29"/>
      <c r="F26" s="29"/>
      <c r="G26" s="29"/>
    </row>
  </sheetData>
  <mergeCells count="9">
    <mergeCell ref="A26:G26"/>
    <mergeCell ref="A2:G2"/>
    <mergeCell ref="A22:E22"/>
    <mergeCell ref="A1:G1"/>
    <mergeCell ref="A17:G17"/>
    <mergeCell ref="A20:E20"/>
    <mergeCell ref="A24:E24"/>
    <mergeCell ref="A19:E19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workbookViewId="0"/>
  </sheetViews>
  <sheetFormatPr defaultRowHeight="15" x14ac:dyDescent="0.25"/>
  <cols>
    <col min="1" max="1" width="26" customWidth="1"/>
    <col min="2" max="3" width="30" customWidth="1"/>
    <col min="4" max="4" width="16" customWidth="1"/>
    <col min="5" max="5" width="40" customWidth="1"/>
  </cols>
  <sheetData>
    <row r="1" spans="1:5" ht="20.25" x14ac:dyDescent="0.3">
      <c r="A1" s="28" t="s">
        <v>39</v>
      </c>
      <c r="B1" s="29"/>
      <c r="C1" s="29"/>
      <c r="D1" s="29"/>
      <c r="E1" s="29"/>
    </row>
    <row r="3" spans="1:5" x14ac:dyDescent="0.25">
      <c r="A3" s="2" t="s">
        <v>40</v>
      </c>
      <c r="B3" s="2" t="s">
        <v>41</v>
      </c>
      <c r="C3" s="2" t="s">
        <v>42</v>
      </c>
      <c r="D3" s="2" t="s">
        <v>43</v>
      </c>
      <c r="E3" s="2" t="s">
        <v>9</v>
      </c>
    </row>
    <row r="4" spans="1:5" ht="38.25" x14ac:dyDescent="0.25">
      <c r="A4" s="19" t="s">
        <v>44</v>
      </c>
      <c r="B4" s="20" t="s">
        <v>45</v>
      </c>
      <c r="C4" s="20" t="s">
        <v>46</v>
      </c>
      <c r="D4" s="21">
        <v>0</v>
      </c>
      <c r="E4" s="13" t="s">
        <v>47</v>
      </c>
    </row>
    <row r="5" spans="1:5" ht="38.25" x14ac:dyDescent="0.25">
      <c r="A5" s="19" t="s">
        <v>48</v>
      </c>
      <c r="B5" s="20" t="s">
        <v>49</v>
      </c>
      <c r="C5" s="20" t="s">
        <v>50</v>
      </c>
      <c r="D5" s="21">
        <v>0</v>
      </c>
      <c r="E5" s="13" t="s">
        <v>51</v>
      </c>
    </row>
    <row r="6" spans="1:5" ht="38.25" x14ac:dyDescent="0.25">
      <c r="A6" s="19" t="s">
        <v>52</v>
      </c>
      <c r="B6" s="20" t="s">
        <v>53</v>
      </c>
      <c r="C6" s="20" t="s">
        <v>54</v>
      </c>
      <c r="D6" s="21">
        <v>0</v>
      </c>
      <c r="E6" s="13" t="s">
        <v>55</v>
      </c>
    </row>
    <row r="7" spans="1:5" ht="38.25" x14ac:dyDescent="0.25">
      <c r="A7" s="19" t="s">
        <v>56</v>
      </c>
      <c r="B7" s="20" t="s">
        <v>57</v>
      </c>
      <c r="C7" s="20" t="s">
        <v>58</v>
      </c>
      <c r="D7" s="21">
        <v>0</v>
      </c>
      <c r="E7" s="13" t="s">
        <v>59</v>
      </c>
    </row>
    <row r="8" spans="1:5" ht="25.5" x14ac:dyDescent="0.25">
      <c r="A8" s="19" t="s">
        <v>60</v>
      </c>
      <c r="B8" s="20" t="s">
        <v>61</v>
      </c>
      <c r="C8" s="20" t="s">
        <v>62</v>
      </c>
      <c r="D8" s="21">
        <v>0</v>
      </c>
      <c r="E8" s="13" t="s">
        <v>63</v>
      </c>
    </row>
    <row r="9" spans="1:5" ht="38.25" x14ac:dyDescent="0.25">
      <c r="A9" s="19" t="s">
        <v>64</v>
      </c>
      <c r="B9" s="20" t="s">
        <v>65</v>
      </c>
      <c r="C9" s="20" t="s">
        <v>66</v>
      </c>
      <c r="D9" s="21">
        <v>5</v>
      </c>
      <c r="E9" s="13" t="s">
        <v>67</v>
      </c>
    </row>
    <row r="11" spans="1:5" x14ac:dyDescent="0.25">
      <c r="A11" s="34" t="s">
        <v>68</v>
      </c>
      <c r="B11" s="29"/>
      <c r="C11" s="29"/>
      <c r="D11" s="29"/>
      <c r="E11" s="29"/>
    </row>
    <row r="12" spans="1:5" x14ac:dyDescent="0.25">
      <c r="A12" s="34" t="s">
        <v>69</v>
      </c>
      <c r="B12" s="29"/>
      <c r="C12" s="29"/>
      <c r="D12" s="29"/>
      <c r="E12" s="29"/>
    </row>
    <row r="14" spans="1:5" x14ac:dyDescent="0.25">
      <c r="A14" s="30" t="s">
        <v>70</v>
      </c>
      <c r="B14" s="29"/>
      <c r="C14" s="29"/>
      <c r="D14" s="29"/>
      <c r="E14" s="29"/>
    </row>
    <row r="15" spans="1:5" x14ac:dyDescent="0.25">
      <c r="A15" s="15" t="s">
        <v>71</v>
      </c>
      <c r="B15" s="15" t="s">
        <v>72</v>
      </c>
      <c r="C15" s="15" t="s">
        <v>73</v>
      </c>
      <c r="D15" s="15" t="s">
        <v>74</v>
      </c>
      <c r="E15" s="15" t="s">
        <v>75</v>
      </c>
    </row>
    <row r="16" spans="1:5" x14ac:dyDescent="0.25">
      <c r="A16" s="22" t="s">
        <v>76</v>
      </c>
      <c r="B16" s="22">
        <v>1</v>
      </c>
      <c r="C16" s="22" t="s">
        <v>77</v>
      </c>
      <c r="D16" s="22" t="s">
        <v>78</v>
      </c>
      <c r="E16" s="23">
        <v>11.99</v>
      </c>
    </row>
    <row r="17" spans="1:5" x14ac:dyDescent="0.25">
      <c r="A17" s="22" t="s">
        <v>79</v>
      </c>
      <c r="B17" s="22">
        <v>2</v>
      </c>
      <c r="C17" s="22" t="s">
        <v>80</v>
      </c>
      <c r="D17" s="22" t="s">
        <v>81</v>
      </c>
      <c r="E17" s="23">
        <v>19.989999999999998</v>
      </c>
    </row>
    <row r="18" spans="1:5" x14ac:dyDescent="0.25">
      <c r="A18" s="24" t="s">
        <v>82</v>
      </c>
      <c r="B18" s="25">
        <v>4</v>
      </c>
      <c r="C18" s="25" t="s">
        <v>83</v>
      </c>
      <c r="D18" s="25" t="s">
        <v>84</v>
      </c>
      <c r="E18" s="26">
        <v>35.99</v>
      </c>
    </row>
    <row r="19" spans="1:5" x14ac:dyDescent="0.25">
      <c r="A19" s="22" t="s">
        <v>85</v>
      </c>
      <c r="B19" s="22">
        <v>8</v>
      </c>
      <c r="C19" s="22" t="s">
        <v>86</v>
      </c>
      <c r="D19" s="22" t="s">
        <v>87</v>
      </c>
      <c r="E19" s="23">
        <v>69.989999999999995</v>
      </c>
    </row>
    <row r="20" spans="1:5" x14ac:dyDescent="0.25">
      <c r="A20" s="22" t="s">
        <v>88</v>
      </c>
      <c r="B20" s="22">
        <v>12</v>
      </c>
      <c r="C20" s="22" t="s">
        <v>89</v>
      </c>
      <c r="D20" s="22" t="s">
        <v>90</v>
      </c>
      <c r="E20" s="23">
        <v>100.99</v>
      </c>
    </row>
    <row r="21" spans="1:5" x14ac:dyDescent="0.25">
      <c r="A21" s="22" t="s">
        <v>91</v>
      </c>
      <c r="B21" s="22">
        <v>16</v>
      </c>
      <c r="C21" s="22" t="s">
        <v>92</v>
      </c>
      <c r="D21" s="22" t="s">
        <v>93</v>
      </c>
      <c r="E21" s="23">
        <v>130.49</v>
      </c>
    </row>
    <row r="23" spans="1:5" x14ac:dyDescent="0.25">
      <c r="A23" s="34" t="s">
        <v>94</v>
      </c>
      <c r="B23" s="29"/>
      <c r="C23" s="29"/>
      <c r="D23" s="29"/>
      <c r="E23" s="29"/>
    </row>
  </sheetData>
  <mergeCells count="5">
    <mergeCell ref="A12:E12"/>
    <mergeCell ref="A11:E11"/>
    <mergeCell ref="A1:E1"/>
    <mergeCell ref="A23:E23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showGridLines="0" workbookViewId="0"/>
  </sheetViews>
  <sheetFormatPr defaultRowHeight="15" x14ac:dyDescent="0.25"/>
  <cols>
    <col min="1" max="1" width="30" customWidth="1"/>
    <col min="2" max="2" width="76" customWidth="1"/>
  </cols>
  <sheetData>
    <row r="1" spans="1:2" ht="20.25" x14ac:dyDescent="0.3">
      <c r="A1" s="37" t="s">
        <v>95</v>
      </c>
      <c r="B1" s="32"/>
    </row>
    <row r="2" spans="1:2" x14ac:dyDescent="0.25">
      <c r="A2" s="16"/>
      <c r="B2" s="16"/>
    </row>
    <row r="3" spans="1:2" x14ac:dyDescent="0.25">
      <c r="A3" s="36" t="s">
        <v>96</v>
      </c>
      <c r="B3" s="32"/>
    </row>
    <row r="4" spans="1:2" ht="40.5" x14ac:dyDescent="0.25">
      <c r="A4" s="19" t="s">
        <v>97</v>
      </c>
      <c r="B4" s="27" t="s">
        <v>98</v>
      </c>
    </row>
    <row r="5" spans="1:2" x14ac:dyDescent="0.25">
      <c r="A5" s="16"/>
      <c r="B5" s="16"/>
    </row>
    <row r="6" spans="1:2" x14ac:dyDescent="0.25">
      <c r="A6" s="36" t="s">
        <v>99</v>
      </c>
      <c r="B6" s="32"/>
    </row>
    <row r="7" spans="1:2" ht="27" x14ac:dyDescent="0.25">
      <c r="A7" s="19" t="s">
        <v>100</v>
      </c>
      <c r="B7" s="27" t="s">
        <v>101</v>
      </c>
    </row>
    <row r="8" spans="1:2" ht="27" x14ac:dyDescent="0.25">
      <c r="A8" s="19" t="s">
        <v>102</v>
      </c>
      <c r="B8" s="27" t="s">
        <v>103</v>
      </c>
    </row>
    <row r="9" spans="1:2" ht="54" x14ac:dyDescent="0.25">
      <c r="A9" s="19" t="s">
        <v>104</v>
      </c>
      <c r="B9" s="27" t="s">
        <v>105</v>
      </c>
    </row>
    <row r="10" spans="1:2" x14ac:dyDescent="0.25">
      <c r="A10" s="16"/>
      <c r="B10" s="16"/>
    </row>
    <row r="11" spans="1:2" x14ac:dyDescent="0.25">
      <c r="A11" s="36" t="s">
        <v>106</v>
      </c>
      <c r="B11" s="32"/>
    </row>
    <row r="12" spans="1:2" ht="81" x14ac:dyDescent="0.25">
      <c r="A12" s="19" t="s">
        <v>107</v>
      </c>
      <c r="B12" s="27" t="s">
        <v>108</v>
      </c>
    </row>
    <row r="13" spans="1:2" ht="25.5" x14ac:dyDescent="0.25">
      <c r="A13" s="19" t="s">
        <v>109</v>
      </c>
      <c r="B13" s="13" t="s">
        <v>110</v>
      </c>
    </row>
    <row r="14" spans="1:2" ht="27" x14ac:dyDescent="0.25">
      <c r="A14" s="19" t="s">
        <v>111</v>
      </c>
      <c r="B14" s="27" t="s">
        <v>112</v>
      </c>
    </row>
    <row r="15" spans="1:2" ht="40.5" x14ac:dyDescent="0.25">
      <c r="A15" s="19" t="s">
        <v>113</v>
      </c>
      <c r="B15" s="27" t="s">
        <v>114</v>
      </c>
    </row>
    <row r="16" spans="1:2" ht="38.25" x14ac:dyDescent="0.25">
      <c r="A16" s="19" t="s">
        <v>115</v>
      </c>
      <c r="B16" s="13" t="s">
        <v>116</v>
      </c>
    </row>
    <row r="17" spans="1:2" x14ac:dyDescent="0.25">
      <c r="A17" s="16"/>
      <c r="B17" s="16"/>
    </row>
    <row r="18" spans="1:2" x14ac:dyDescent="0.25">
      <c r="A18" s="36" t="s">
        <v>117</v>
      </c>
      <c r="B18" s="32"/>
    </row>
    <row r="19" spans="1:2" ht="27" x14ac:dyDescent="0.25">
      <c r="A19" s="19" t="s">
        <v>118</v>
      </c>
      <c r="B19" s="27" t="s">
        <v>119</v>
      </c>
    </row>
    <row r="20" spans="1:2" x14ac:dyDescent="0.25">
      <c r="A20" s="16"/>
      <c r="B20" s="16"/>
    </row>
    <row r="21" spans="1:2" x14ac:dyDescent="0.25">
      <c r="A21" s="36" t="s">
        <v>120</v>
      </c>
      <c r="B21" s="32"/>
    </row>
    <row r="22" spans="1:2" ht="27" x14ac:dyDescent="0.25">
      <c r="A22" s="19" t="s">
        <v>121</v>
      </c>
      <c r="B22" s="27" t="s">
        <v>122</v>
      </c>
    </row>
    <row r="23" spans="1:2" ht="40.5" x14ac:dyDescent="0.25">
      <c r="A23" s="19" t="s">
        <v>121</v>
      </c>
      <c r="B23" s="27" t="s">
        <v>123</v>
      </c>
    </row>
    <row r="24" spans="1:2" ht="40.5" x14ac:dyDescent="0.25">
      <c r="A24" s="19" t="s">
        <v>121</v>
      </c>
      <c r="B24" s="27" t="s">
        <v>124</v>
      </c>
    </row>
    <row r="25" spans="1:2" ht="27" x14ac:dyDescent="0.25">
      <c r="A25" s="19" t="s">
        <v>121</v>
      </c>
      <c r="B25" s="27" t="s">
        <v>125</v>
      </c>
    </row>
    <row r="26" spans="1:2" x14ac:dyDescent="0.25">
      <c r="A26" s="16"/>
      <c r="B26" s="16"/>
    </row>
    <row r="27" spans="1:2" x14ac:dyDescent="0.25">
      <c r="A27" s="36" t="s">
        <v>126</v>
      </c>
      <c r="B27" s="32"/>
    </row>
    <row r="28" spans="1:2" ht="40.5" x14ac:dyDescent="0.25">
      <c r="A28" s="19" t="s">
        <v>127</v>
      </c>
      <c r="B28" s="27" t="s">
        <v>128</v>
      </c>
    </row>
  </sheetData>
  <mergeCells count="7">
    <mergeCell ref="A21:B21"/>
    <mergeCell ref="A11:B11"/>
    <mergeCell ref="A1:B1"/>
    <mergeCell ref="A18:B18"/>
    <mergeCell ref="A27:B27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Full Breakdown</vt:lpstr>
      <vt:lpstr>Assumptions &amp; Sources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2026-07-29T11:11:00Z</dcterms:created>
  <dcterms:modified xsi:type="dcterms:W3CDTF">2026-07-29T11:11:11Z</dcterms:modified>
</cp:coreProperties>
</file>