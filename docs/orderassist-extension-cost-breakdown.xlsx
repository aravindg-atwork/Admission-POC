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I Assissant POC\docs\"/>
    </mc:Choice>
  </mc:AlternateContent>
  <bookViews>
    <workbookView xWindow="0" yWindow="0" windowWidth="24000" windowHeight="11745"/>
  </bookViews>
  <sheets>
    <sheet name="Summary" sheetId="1" r:id="rId1"/>
    <sheet name="Cost Breakdown" sheetId="2" r:id="rId2"/>
    <sheet name="Assumptions &amp; Reference" sheetId="3" r:id="rId3"/>
  </sheets>
  <calcPr calcId="152511"/>
</workbook>
</file>

<file path=xl/calcChain.xml><?xml version="1.0" encoding="utf-8"?>
<calcChain xmlns="http://schemas.openxmlformats.org/spreadsheetml/2006/main">
  <c r="F6" i="2" l="1"/>
  <c r="F5" i="2"/>
  <c r="F4" i="2"/>
  <c r="F7" i="2" s="1"/>
  <c r="B4" i="1" s="1"/>
  <c r="D9" i="1" l="1"/>
  <c r="C9" i="1"/>
  <c r="B9" i="1"/>
</calcChain>
</file>

<file path=xl/sharedStrings.xml><?xml version="1.0" encoding="utf-8"?>
<sst xmlns="http://schemas.openxmlformats.org/spreadsheetml/2006/main" count="90" uniqueCount="82">
  <si>
    <t>OrderAssist Browser Extension — Resource &amp; Cost Summary</t>
  </si>
  <si>
    <t>Catalogue-matching flow only (Send-click -&gt; match -&gt; note). Excludes the main admission chat/RAG pipeline.</t>
  </si>
  <si>
    <t>Total external API cost per Send click</t>
  </si>
  <si>
    <t>Why $0: every step uses a self-hosted resource (embedding service, Ollama/gemma2:2b) - no paid cloud API is called in this flow.</t>
  </si>
  <si>
    <t>Projected monthly cost</t>
  </si>
  <si>
    <t>Send clicks / month</t>
  </si>
  <si>
    <t>Resources used by this flow</t>
  </si>
  <si>
    <t>Step</t>
  </si>
  <si>
    <t>Resource</t>
  </si>
  <si>
    <t>Hosted</t>
  </si>
  <si>
    <t>Per-call cost</t>
  </si>
  <si>
    <t>Catalogue match (semantic)</t>
  </si>
  <si>
    <t>nomic-embed-text (embedding-service)</t>
  </si>
  <si>
    <t>Self-hosted (Docker)</t>
  </si>
  <si>
    <t>$0.00</t>
  </si>
  <si>
    <t>Complementary suggestion</t>
  </si>
  <si>
    <t>gemma2:2b (Ollama)</t>
  </si>
  <si>
    <t>Self-hosted (local)</t>
  </si>
  <si>
    <t>Email note generation</t>
  </si>
  <si>
    <t>File download / attach</t>
  </si>
  <si>
    <t>Google Drive API</t>
  </si>
  <si>
    <t>Google-hosted (free tier quota)</t>
  </si>
  <si>
    <t>See 'Cost Breakdown' for per-endpoint detail and 'Assumptions &amp; Reference' for measured latencies, code references, and what this flow would cost if routed through Sarvam (cloud) instead.</t>
  </si>
  <si>
    <t>Per-Endpoint Cost Breakdown</t>
  </si>
  <si>
    <t>Endpoint</t>
  </si>
  <si>
    <t>LLM/Resource provider</t>
  </si>
  <si>
    <t>Input price /1M tok ($)</t>
  </si>
  <si>
    <t>Output price /1M tok ($)</t>
  </si>
  <si>
    <t>Est. tokens/call</t>
  </si>
  <si>
    <t>Cost/call ($)</t>
  </si>
  <si>
    <t>Notes</t>
  </si>
  <si>
    <t>POST /api/catalogue/match</t>
  </si>
  <si>
    <t>embedding-service (self-hosted, nomic-embed-text)</t>
  </si>
  <si>
    <t>Self-hosted embedding call - no per-token API pricing applies.</t>
  </si>
  <si>
    <t>POST /api/catalogue/complementary</t>
  </si>
  <si>
    <t>Ollama gemma2:2b (local, allow_cloud=False)</t>
  </si>
  <si>
    <t>backend/catalogue.py suggest_complementary() - forced local-only, see Assumptions tab. Token count is a rough estimate, not measured.</t>
  </si>
  <si>
    <t>POST /api/catalogue/note</t>
  </si>
  <si>
    <t>backend/catalogue.py generate_note() - forced local-only, see Assumptions tab. Token count is a rough estimate, not measured.</t>
  </si>
  <si>
    <t>Total cost / Send click (match + complementary + note)</t>
  </si>
  <si>
    <t>Note: cost/call formulas are wired to the price cells above (currently $0 because every</t>
  </si>
  <si>
    <t>resource here is self-hosted). Changing C4:D6 to a real per-token rate recalculates the totals.</t>
  </si>
  <si>
    <t>Assumptions, Measurements &amp; Reference</t>
  </si>
  <si>
    <t>1. Current routing (as of this session, 2026-07-29)</t>
  </si>
  <si>
    <t>Config</t>
  </si>
  <si>
    <t>CHAT_PRIMARY=sarvam, CHAT_FALLBACK=ollama (backend/config.py) - this is the setting for the main admission chat pipeline.</t>
  </si>
  <si>
    <t>Extension override</t>
  </si>
  <si>
    <t>backend/catalogue.py: suggest_complementary() and generate_note() both call llm.generate(..., allow_cloud=False), which forces the Ollama/gemma2:2b fallback and skips Sarvam entirely for this flow only.</t>
  </si>
  <si>
    <t>Verified</t>
  </si>
  <si>
    <t>Live test: POST /api/catalogue/note returned "model": "gemma2:2b" after this change (previously "sarvam:sarvam-30b" before it).</t>
  </si>
  <si>
    <t>2. Measured latency (this session, localhost)</t>
  </si>
  <si>
    <t>Match (cold, uncached items)</t>
  </si>
  <si>
    <t>~0.5-0.6s - self-hosted embedding service</t>
  </si>
  <si>
    <t>Match (warm, cached items/result)</t>
  </si>
  <si>
    <t>~0.2-0.3s</t>
  </si>
  <si>
    <t>Complementary suggestion (local gemma2:2b)</t>
  </si>
  <si>
    <t>~6.4s</t>
  </si>
  <si>
    <t>Complementary suggestion (previously, Sarvam)</t>
  </si>
  <si>
    <t>~5.0s - for comparison, before the allow_cloud=False change</t>
  </si>
  <si>
    <t>Note generation (local gemma2:2b)</t>
  </si>
  <si>
    <t>~12.6s</t>
  </si>
  <si>
    <t>Note generation (previously, Sarvam)</t>
  </si>
  <si>
    <t>~4.6s - for comparison, before the allow_cloud=False change</t>
  </si>
  <si>
    <t>Note generation (cached, repeat request)</t>
  </si>
  <si>
    <t>~0.2s - backend/catalogue.py _note_cache</t>
  </si>
  <si>
    <t>Trade-off</t>
  </si>
  <si>
    <t>Local-only removes 100% of the external API cost for this flow, at the cost of roughly 2-3x higher latency on note generation specifically. Complementary suggestion latency stayed in the same order of magnitude in this single comparison; treat all figures here as one-sample measurements, not averaged benchmarks.</t>
  </si>
  <si>
    <t>3. Sarvam pricing (for reference only - NOT used, this flow is local-only)</t>
  </si>
  <si>
    <t>Source</t>
  </si>
  <si>
    <t>Sarvam AI public pricing page and a third-party aggregator, retrieved via web search 2026-07-29: sarvam.ai/api-pricing and pricepertoken.com/pricing-page/model/together-sarvam-m</t>
  </si>
  <si>
    <t>Lower-tier chat model</t>
  </si>
  <si>
    <t>Input Rs 2.5 / 1M tokens, cached input Rs 1.5 / 1M tokens, output Rs 10 / 1M tokens</t>
  </si>
  <si>
    <t>Higher-tier chat model</t>
  </si>
  <si>
    <t>Input Rs 4 / 1M tokens, cached input Rs 2.5 / 1M tokens, output Rs 16 / 1M tokens</t>
  </si>
  <si>
    <t>Caveat</t>
  </si>
  <si>
    <t>Which of Sarvam's tiers backend/config.py's SARVAM_MODEL="sarvam-30b" actually bills at was not independently confirmed against Sarvam's own pricing page in this session (a fetch of that exact page was not completed) - treat the two rows above as bounding estimates from search results, not a confirmed exact rate for this project's model setting.</t>
  </si>
  <si>
    <t>If switched back to Sarvam</t>
  </si>
  <si>
    <t>At ~450 tokens/note and ~350 tokens/complementary-suggestion call, the lower-tier blended rate above works out to well under $0.01 per Send click - cheap even on the paid tier, but still not $0.00 like the current local-only routing.</t>
  </si>
  <si>
    <t>4. What this document does not cover</t>
  </si>
  <si>
    <t>Excluded</t>
  </si>
  <si>
    <t>The main admission chat/RAG pipeline (backend/rag.py) - that still runs CHAT_PRIMARY=sarvam by default and is this project's actual Sarvam spend (see the admin console's Cost tab for that project's live Sarvam call count against SARVAM_DAILY_LIMIT).</t>
  </si>
  <si>
    <t>Infrastructure/hosting cost of running the embedding-service and OCR-service Docker containers, or the Ollama host machine itself - this sheet covers per-call API billing only, not compute/hosting spend.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</si>
</sst>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#,##0.0000;\(\$#,##0.0000\);&quot;$0.00&quot;"/>
    <numFmt numFmtId="165" formatCode="\$#,##0.00;\(\$#,##0.00\);&quot;$0.00&quot;"/>
    <numFmt numFmtId="166" formatCode="\$#,##0.00"/>
    <numFmt numFmtId="167" formatCode="\$#,##0.0000"/>
  </numFmts>
  <fonts count="12" x14ac:knownFonts="1">
    <font>
      <sz val="11"/>
      <color theme="1"/>
      <name val="Calibri"/>
      <family val="2"/>
      <scheme val="minor"/>
    </font>
    <font>
      <b/>
      <sz val="16"/>
      <color rgb="FF1A1F27"/>
      <name val="Arial"/>
    </font>
    <font>
      <sz val="10.5"/>
      <color rgb="FF5B6572"/>
      <name val="Arial"/>
    </font>
    <font>
      <b/>
      <sz val="11"/>
      <name val="Arial"/>
    </font>
    <font>
      <b/>
      <sz val="14"/>
      <color rgb="FF1A7F4E"/>
      <name val="Arial"/>
    </font>
    <font>
      <i/>
      <sz val="9.5"/>
      <color rgb="FF5B6572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0.5"/>
      <name val="Arial"/>
    </font>
    <font>
      <b/>
      <sz val="12"/>
      <color rgb="FF1A7F4E"/>
      <name val="Arial"/>
    </font>
    <font>
      <b/>
      <sz val="10.5"/>
      <name val="Arial"/>
    </font>
  </fonts>
  <fills count="4">
    <fill>
      <patternFill patternType="none"/>
    </fill>
    <fill>
      <patternFill patternType="gray125"/>
    </fill>
    <fill>
      <patternFill patternType="solid">
        <fgColor rgb="FFF3F6F4"/>
      </patternFill>
    </fill>
    <fill>
      <patternFill patternType="solid">
        <fgColor rgb="FF1A7F4E"/>
      </patternFill>
    </fill>
  </fills>
  <borders count="2">
    <border>
      <left/>
      <right/>
      <top/>
      <bottom/>
      <diagonal/>
    </border>
    <border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3" fillId="0" borderId="1" xfId="0" applyFont="1" applyBorder="1"/>
    <xf numFmtId="165" fontId="7" fillId="0" borderId="1" xfId="0" applyNumberFormat="1" applyFont="1" applyBorder="1" applyAlignment="1">
      <alignment horizontal="center"/>
    </xf>
    <xf numFmtId="0" fontId="8" fillId="3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8" fillId="3" borderId="1" xfId="0" applyFont="1" applyFill="1" applyBorder="1" applyAlignment="1">
      <alignment vertical="center" wrapText="1"/>
    </xf>
    <xf numFmtId="166" fontId="6" fillId="0" borderId="1" xfId="0" applyNumberFormat="1" applyFont="1" applyBorder="1"/>
    <xf numFmtId="0" fontId="6" fillId="0" borderId="1" xfId="0" applyFont="1" applyBorder="1"/>
    <xf numFmtId="167" fontId="7" fillId="0" borderId="1" xfId="0" applyNumberFormat="1" applyFont="1" applyBorder="1"/>
    <xf numFmtId="0" fontId="5" fillId="0" borderId="1" xfId="0" applyFont="1" applyBorder="1" applyAlignment="1">
      <alignment wrapText="1"/>
    </xf>
    <xf numFmtId="164" fontId="10" fillId="0" borderId="1" xfId="0" applyNumberFormat="1" applyFont="1" applyBorder="1"/>
    <xf numFmtId="0" fontId="0" fillId="0" borderId="1" xfId="0" applyBorder="1"/>
    <xf numFmtId="0" fontId="1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1" xfId="0" applyFont="1" applyBorder="1"/>
    <xf numFmtId="0" fontId="8" fillId="3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tabSelected="1" workbookViewId="0">
      <selection sqref="A1:E1"/>
    </sheetView>
  </sheetViews>
  <sheetFormatPr defaultRowHeight="15" x14ac:dyDescent="0.25"/>
  <cols>
    <col min="1" max="1" width="30" customWidth="1"/>
    <col min="2" max="4" width="22" customWidth="1"/>
    <col min="5" max="5" width="30" customWidth="1"/>
  </cols>
  <sheetData>
    <row r="1" spans="1:5" ht="20.25" x14ac:dyDescent="0.3">
      <c r="A1" s="22" t="s">
        <v>0</v>
      </c>
      <c r="B1" s="21"/>
      <c r="C1" s="21"/>
      <c r="D1" s="21"/>
      <c r="E1" s="21"/>
    </row>
    <row r="2" spans="1:5" x14ac:dyDescent="0.25">
      <c r="A2" s="20" t="s">
        <v>1</v>
      </c>
      <c r="B2" s="21"/>
      <c r="C2" s="21"/>
      <c r="D2" s="21"/>
      <c r="E2" s="21"/>
    </row>
    <row r="4" spans="1:5" ht="18" x14ac:dyDescent="0.25">
      <c r="A4" s="1" t="s">
        <v>2</v>
      </c>
      <c r="B4" s="2">
        <f>'Cost Breakdown'!F7</f>
        <v>0</v>
      </c>
    </row>
    <row r="5" spans="1:5" x14ac:dyDescent="0.25">
      <c r="A5" s="23" t="s">
        <v>3</v>
      </c>
      <c r="B5" s="21"/>
      <c r="C5" s="21"/>
      <c r="D5" s="21"/>
      <c r="E5" s="21"/>
    </row>
    <row r="7" spans="1:5" x14ac:dyDescent="0.25">
      <c r="A7" s="1" t="s">
        <v>4</v>
      </c>
    </row>
    <row r="8" spans="1:5" x14ac:dyDescent="0.25">
      <c r="A8" s="3" t="s">
        <v>5</v>
      </c>
      <c r="B8" s="4">
        <v>100</v>
      </c>
      <c r="C8" s="4">
        <v>1000</v>
      </c>
      <c r="D8" s="4">
        <v>10000</v>
      </c>
    </row>
    <row r="9" spans="1:5" x14ac:dyDescent="0.25">
      <c r="A9" s="5" t="s">
        <v>4</v>
      </c>
      <c r="B9" s="6">
        <f>B8*$B$4</f>
        <v>0</v>
      </c>
      <c r="C9" s="6">
        <f>C8*$B$4</f>
        <v>0</v>
      </c>
      <c r="D9" s="6">
        <f>D8*$B$4</f>
        <v>0</v>
      </c>
    </row>
    <row r="11" spans="1:5" x14ac:dyDescent="0.25">
      <c r="A11" s="1" t="s">
        <v>6</v>
      </c>
    </row>
    <row r="12" spans="1:5" x14ac:dyDescent="0.25">
      <c r="A12" s="7" t="s">
        <v>7</v>
      </c>
      <c r="B12" s="7" t="s">
        <v>8</v>
      </c>
      <c r="C12" s="7" t="s">
        <v>9</v>
      </c>
      <c r="D12" s="7" t="s">
        <v>10</v>
      </c>
    </row>
    <row r="13" spans="1:5" x14ac:dyDescent="0.25">
      <c r="A13" s="8" t="s">
        <v>11</v>
      </c>
      <c r="B13" s="8" t="s">
        <v>12</v>
      </c>
      <c r="C13" s="8" t="s">
        <v>13</v>
      </c>
      <c r="D13" s="9" t="s">
        <v>14</v>
      </c>
    </row>
    <row r="14" spans="1:5" x14ac:dyDescent="0.25">
      <c r="A14" s="8" t="s">
        <v>15</v>
      </c>
      <c r="B14" s="8" t="s">
        <v>16</v>
      </c>
      <c r="C14" s="8" t="s">
        <v>17</v>
      </c>
      <c r="D14" s="9" t="s">
        <v>14</v>
      </c>
    </row>
    <row r="15" spans="1:5" x14ac:dyDescent="0.25">
      <c r="A15" s="8" t="s">
        <v>18</v>
      </c>
      <c r="B15" s="8" t="s">
        <v>16</v>
      </c>
      <c r="C15" s="8" t="s">
        <v>17</v>
      </c>
      <c r="D15" s="9" t="s">
        <v>14</v>
      </c>
    </row>
    <row r="16" spans="1:5" x14ac:dyDescent="0.25">
      <c r="A16" s="8" t="s">
        <v>19</v>
      </c>
      <c r="B16" s="8" t="s">
        <v>20</v>
      </c>
      <c r="C16" s="8" t="s">
        <v>21</v>
      </c>
      <c r="D16" s="9" t="s">
        <v>14</v>
      </c>
    </row>
    <row r="18" spans="1:5" x14ac:dyDescent="0.25">
      <c r="A18" s="23" t="s">
        <v>22</v>
      </c>
      <c r="B18" s="21"/>
      <c r="C18" s="21"/>
      <c r="D18" s="21"/>
      <c r="E18" s="21"/>
    </row>
  </sheetData>
  <mergeCells count="4">
    <mergeCell ref="A2:E2"/>
    <mergeCell ref="A1:E1"/>
    <mergeCell ref="A18:E18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workbookViewId="0"/>
  </sheetViews>
  <sheetFormatPr defaultRowHeight="15" x14ac:dyDescent="0.25"/>
  <cols>
    <col min="1" max="1" width="30" customWidth="1"/>
    <col min="2" max="2" width="34" customWidth="1"/>
    <col min="3" max="5" width="16" customWidth="1"/>
    <col min="6" max="6" width="14" customWidth="1"/>
    <col min="7" max="7" width="44" customWidth="1"/>
  </cols>
  <sheetData>
    <row r="1" spans="1:7" ht="20.25" x14ac:dyDescent="0.3">
      <c r="A1" s="22" t="s">
        <v>23</v>
      </c>
      <c r="B1" s="21"/>
      <c r="C1" s="21"/>
      <c r="D1" s="21"/>
      <c r="E1" s="21"/>
      <c r="F1" s="21"/>
      <c r="G1" s="21"/>
    </row>
    <row r="3" spans="1:7" ht="30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</row>
    <row r="4" spans="1:7" ht="26.25" x14ac:dyDescent="0.25">
      <c r="A4" s="8" t="s">
        <v>31</v>
      </c>
      <c r="B4" s="8" t="s">
        <v>32</v>
      </c>
      <c r="C4" s="11">
        <v>0</v>
      </c>
      <c r="D4" s="11">
        <v>0</v>
      </c>
      <c r="E4" s="12">
        <v>0</v>
      </c>
      <c r="F4" s="13">
        <f>(E4/1000000)*(C4+D4)</f>
        <v>0</v>
      </c>
      <c r="G4" s="14" t="s">
        <v>33</v>
      </c>
    </row>
    <row r="5" spans="1:7" ht="39" x14ac:dyDescent="0.25">
      <c r="A5" s="8" t="s">
        <v>34</v>
      </c>
      <c r="B5" s="8" t="s">
        <v>35</v>
      </c>
      <c r="C5" s="11">
        <v>0</v>
      </c>
      <c r="D5" s="11">
        <v>0</v>
      </c>
      <c r="E5" s="12">
        <v>350</v>
      </c>
      <c r="F5" s="13">
        <f>(E5/1000000)*(C5+D5)</f>
        <v>0</v>
      </c>
      <c r="G5" s="14" t="s">
        <v>36</v>
      </c>
    </row>
    <row r="6" spans="1:7" ht="39" x14ac:dyDescent="0.25">
      <c r="A6" s="8" t="s">
        <v>37</v>
      </c>
      <c r="B6" s="8" t="s">
        <v>35</v>
      </c>
      <c r="C6" s="11">
        <v>0</v>
      </c>
      <c r="D6" s="11">
        <v>0</v>
      </c>
      <c r="E6" s="12">
        <v>450</v>
      </c>
      <c r="F6" s="13">
        <f>(E6/1000000)*(C6+D6)</f>
        <v>0</v>
      </c>
      <c r="G6" s="14" t="s">
        <v>38</v>
      </c>
    </row>
    <row r="7" spans="1:7" ht="15.75" x14ac:dyDescent="0.25">
      <c r="A7" s="24" t="s">
        <v>39</v>
      </c>
      <c r="B7" s="21"/>
      <c r="C7" s="21"/>
      <c r="D7" s="21"/>
      <c r="E7" s="21"/>
      <c r="F7" s="15">
        <f>SUM(F4:F6)</f>
        <v>0</v>
      </c>
    </row>
    <row r="9" spans="1:7" x14ac:dyDescent="0.25">
      <c r="A9" s="23" t="s">
        <v>40</v>
      </c>
      <c r="B9" s="21"/>
      <c r="C9" s="21"/>
      <c r="D9" s="21"/>
      <c r="E9" s="21"/>
      <c r="F9" s="21"/>
      <c r="G9" s="21"/>
    </row>
    <row r="10" spans="1:7" x14ac:dyDescent="0.25">
      <c r="A10" s="23" t="s">
        <v>41</v>
      </c>
      <c r="B10" s="21"/>
      <c r="C10" s="21"/>
      <c r="D10" s="21"/>
      <c r="E10" s="21"/>
      <c r="F10" s="21"/>
      <c r="G10" s="21"/>
    </row>
  </sheetData>
  <mergeCells count="4">
    <mergeCell ref="A7:E7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showGridLines="0" workbookViewId="0"/>
  </sheetViews>
  <sheetFormatPr defaultRowHeight="15" x14ac:dyDescent="0.25"/>
  <cols>
    <col min="1" max="1" width="34" customWidth="1"/>
    <col min="2" max="2" width="74" customWidth="1"/>
  </cols>
  <sheetData>
    <row r="1" spans="1:2" ht="20.25" x14ac:dyDescent="0.3">
      <c r="A1" s="27" t="s">
        <v>42</v>
      </c>
      <c r="B1" s="26"/>
    </row>
    <row r="2" spans="1:2" x14ac:dyDescent="0.25">
      <c r="A2" s="16"/>
      <c r="B2" s="16"/>
    </row>
    <row r="3" spans="1:2" x14ac:dyDescent="0.25">
      <c r="A3" s="25" t="s">
        <v>43</v>
      </c>
      <c r="B3" s="26"/>
    </row>
    <row r="4" spans="1:2" ht="27" x14ac:dyDescent="0.25">
      <c r="A4" s="17" t="s">
        <v>44</v>
      </c>
      <c r="B4" s="18" t="s">
        <v>45</v>
      </c>
    </row>
    <row r="5" spans="1:2" ht="40.5" x14ac:dyDescent="0.25">
      <c r="A5" s="17" t="s">
        <v>46</v>
      </c>
      <c r="B5" s="18" t="s">
        <v>47</v>
      </c>
    </row>
    <row r="6" spans="1:2" ht="27" x14ac:dyDescent="0.25">
      <c r="A6" s="17" t="s">
        <v>48</v>
      </c>
      <c r="B6" s="18" t="s">
        <v>49</v>
      </c>
    </row>
    <row r="7" spans="1:2" x14ac:dyDescent="0.25">
      <c r="A7" s="16"/>
      <c r="B7" s="16"/>
    </row>
    <row r="8" spans="1:2" x14ac:dyDescent="0.25">
      <c r="A8" s="25" t="s">
        <v>50</v>
      </c>
      <c r="B8" s="26"/>
    </row>
    <row r="9" spans="1:2" x14ac:dyDescent="0.25">
      <c r="A9" s="17" t="s">
        <v>51</v>
      </c>
      <c r="B9" s="18" t="s">
        <v>52</v>
      </c>
    </row>
    <row r="10" spans="1:2" ht="27" x14ac:dyDescent="0.25">
      <c r="A10" s="17" t="s">
        <v>53</v>
      </c>
      <c r="B10" s="18" t="s">
        <v>54</v>
      </c>
    </row>
    <row r="11" spans="1:2" ht="27" x14ac:dyDescent="0.25">
      <c r="A11" s="17" t="s">
        <v>55</v>
      </c>
      <c r="B11" s="18" t="s">
        <v>56</v>
      </c>
    </row>
    <row r="12" spans="1:2" ht="27" x14ac:dyDescent="0.25">
      <c r="A12" s="17" t="s">
        <v>57</v>
      </c>
      <c r="B12" s="18" t="s">
        <v>58</v>
      </c>
    </row>
    <row r="13" spans="1:2" ht="27" x14ac:dyDescent="0.25">
      <c r="A13" s="17" t="s">
        <v>59</v>
      </c>
      <c r="B13" s="18" t="s">
        <v>60</v>
      </c>
    </row>
    <row r="14" spans="1:2" ht="27" x14ac:dyDescent="0.25">
      <c r="A14" s="17" t="s">
        <v>61</v>
      </c>
      <c r="B14" s="18" t="s">
        <v>62</v>
      </c>
    </row>
    <row r="15" spans="1:2" ht="27" x14ac:dyDescent="0.25">
      <c r="A15" s="17" t="s">
        <v>63</v>
      </c>
      <c r="B15" s="18" t="s">
        <v>64</v>
      </c>
    </row>
    <row r="16" spans="1:2" ht="51" x14ac:dyDescent="0.25">
      <c r="A16" s="17" t="s">
        <v>65</v>
      </c>
      <c r="B16" s="19" t="s">
        <v>66</v>
      </c>
    </row>
    <row r="17" spans="1:2" x14ac:dyDescent="0.25">
      <c r="A17" s="16"/>
      <c r="B17" s="16"/>
    </row>
    <row r="18" spans="1:2" x14ac:dyDescent="0.25">
      <c r="A18" s="25" t="s">
        <v>67</v>
      </c>
      <c r="B18" s="26"/>
    </row>
    <row r="19" spans="1:2" ht="40.5" x14ac:dyDescent="0.25">
      <c r="A19" s="17" t="s">
        <v>68</v>
      </c>
      <c r="B19" s="18" t="s">
        <v>69</v>
      </c>
    </row>
    <row r="20" spans="1:2" ht="27" x14ac:dyDescent="0.25">
      <c r="A20" s="17" t="s">
        <v>70</v>
      </c>
      <c r="B20" s="18" t="s">
        <v>71</v>
      </c>
    </row>
    <row r="21" spans="1:2" ht="27" x14ac:dyDescent="0.25">
      <c r="A21" s="17" t="s">
        <v>72</v>
      </c>
      <c r="B21" s="18" t="s">
        <v>73</v>
      </c>
    </row>
    <row r="22" spans="1:2" ht="63.75" x14ac:dyDescent="0.25">
      <c r="A22" s="17" t="s">
        <v>74</v>
      </c>
      <c r="B22" s="19" t="s">
        <v>75</v>
      </c>
    </row>
    <row r="23" spans="1:2" ht="38.25" x14ac:dyDescent="0.25">
      <c r="A23" s="17" t="s">
        <v>76</v>
      </c>
      <c r="B23" s="19" t="s">
        <v>77</v>
      </c>
    </row>
    <row r="24" spans="1:2" x14ac:dyDescent="0.25">
      <c r="A24" s="16"/>
      <c r="B24" s="16"/>
    </row>
    <row r="25" spans="1:2" x14ac:dyDescent="0.25">
      <c r="A25" s="25" t="s">
        <v>78</v>
      </c>
      <c r="B25" s="26"/>
    </row>
    <row r="26" spans="1:2" ht="54" x14ac:dyDescent="0.25">
      <c r="A26" s="17" t="s">
        <v>79</v>
      </c>
      <c r="B26" s="18" t="s">
        <v>80</v>
      </c>
    </row>
    <row r="27" spans="1:2" ht="40.5" x14ac:dyDescent="0.25">
      <c r="A27" s="17" t="s">
        <v>79</v>
      </c>
      <c r="B27" s="18" t="s">
        <v>81</v>
      </c>
    </row>
  </sheetData>
  <mergeCells count="5">
    <mergeCell ref="A25:B25"/>
    <mergeCell ref="A1:B1"/>
    <mergeCell ref="A18:B18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Cost Breakdown</vt:lpstr>
      <vt:lpstr>Assumptions &amp; 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2026-07-29T10:33:22Z</dcterms:created>
  <dcterms:modified xsi:type="dcterms:W3CDTF">2026-07-29T10:34:01Z</dcterms:modified>
</cp:coreProperties>
</file>